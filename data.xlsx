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ycantik/Downloads/"/>
    </mc:Choice>
  </mc:AlternateContent>
  <xr:revisionPtr revIDLastSave="0" documentId="8_{70EB5A70-0D1D-C14D-AC9F-4304E12FD301}" xr6:coauthVersionLast="47" xr6:coauthVersionMax="47" xr10:uidLastSave="{00000000-0000-0000-0000-000000000000}"/>
  <bookViews>
    <workbookView xWindow="940" yWindow="1080" windowWidth="27640" windowHeight="16440" xr2:uid="{E46B493C-EC9E-1A4F-A571-F3C4470FC915}"/>
  </bookViews>
  <sheets>
    <sheet name="spesies" sheetId="1" r:id="rId1"/>
    <sheet name="parameter lingkung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G2" i="1"/>
</calcChain>
</file>

<file path=xl/sharedStrings.xml><?xml version="1.0" encoding="utf-8"?>
<sst xmlns="http://schemas.openxmlformats.org/spreadsheetml/2006/main" count="222" uniqueCount="163">
  <si>
    <t>Lokasi</t>
  </si>
  <si>
    <t>Stasiun</t>
  </si>
  <si>
    <t>Kode</t>
  </si>
  <si>
    <t>Chaetoceros</t>
  </si>
  <si>
    <t>Ditylum</t>
  </si>
  <si>
    <t>Meuniera</t>
  </si>
  <si>
    <t>Proboscia</t>
  </si>
  <si>
    <t>Bacteriastrum</t>
  </si>
  <si>
    <t>Pseudosolenia</t>
  </si>
  <si>
    <t>Cyclotella</t>
  </si>
  <si>
    <t>Pseudo-nitzschia</t>
  </si>
  <si>
    <t>Nitzschia</t>
  </si>
  <si>
    <t>Ceratium</t>
  </si>
  <si>
    <t>Lauderia</t>
  </si>
  <si>
    <t>Thalassiosira</t>
  </si>
  <si>
    <t>Coscinodiscus</t>
  </si>
  <si>
    <t>Lyngbya</t>
  </si>
  <si>
    <t>Rhizosolenia</t>
  </si>
  <si>
    <t>Odontella</t>
  </si>
  <si>
    <t>Thalassionema</t>
  </si>
  <si>
    <t>Hemiaulus</t>
  </si>
  <si>
    <t>Protoperidinium</t>
  </si>
  <si>
    <t>Pleurosigma</t>
  </si>
  <si>
    <t>Cylindrotheca</t>
  </si>
  <si>
    <t>Climacosphenia</t>
  </si>
  <si>
    <t>Eucampia</t>
  </si>
  <si>
    <t>Bellerochea</t>
  </si>
  <si>
    <t>Stephanopyxis</t>
  </si>
  <si>
    <t>Licmophora</t>
  </si>
  <si>
    <t>Asteromphalus</t>
  </si>
  <si>
    <t>Climacodium</t>
  </si>
  <si>
    <t>Dinophysis</t>
  </si>
  <si>
    <t>Asterionellopsis</t>
  </si>
  <si>
    <t>Rhabdonema</t>
  </si>
  <si>
    <t>Trichodesmium</t>
  </si>
  <si>
    <t>Awang</t>
  </si>
  <si>
    <t>AW1</t>
  </si>
  <si>
    <t>AW2</t>
  </si>
  <si>
    <t>AW3</t>
  </si>
  <si>
    <t>AW4</t>
  </si>
  <si>
    <t>AW5</t>
  </si>
  <si>
    <t>Paremas</t>
  </si>
  <si>
    <t>PM1</t>
  </si>
  <si>
    <t>PM2</t>
  </si>
  <si>
    <t>PM3</t>
  </si>
  <si>
    <t>PM4</t>
  </si>
  <si>
    <t>PM5</t>
  </si>
  <si>
    <t>Seriwe</t>
  </si>
  <si>
    <t>SR1</t>
  </si>
  <si>
    <t>SR2</t>
  </si>
  <si>
    <t>SR3</t>
  </si>
  <si>
    <t>SR4</t>
  </si>
  <si>
    <t>SR5</t>
  </si>
  <si>
    <t>Kedalaman Laut</t>
  </si>
  <si>
    <t>T</t>
  </si>
  <si>
    <t>S</t>
  </si>
  <si>
    <t>pH</t>
  </si>
  <si>
    <t>pHmV</t>
  </si>
  <si>
    <t>DO</t>
  </si>
  <si>
    <t>TDS</t>
  </si>
  <si>
    <t>Turbidity</t>
  </si>
  <si>
    <t>ORP</t>
  </si>
  <si>
    <t>Konduktivitas</t>
  </si>
  <si>
    <t>Secchi</t>
  </si>
  <si>
    <t>TSS</t>
  </si>
  <si>
    <t>29.50</t>
  </si>
  <si>
    <t>29.64</t>
  </si>
  <si>
    <t>8.18</t>
  </si>
  <si>
    <t>3.4</t>
  </si>
  <si>
    <t>27.9</t>
  </si>
  <si>
    <t>21.6</t>
  </si>
  <si>
    <t>45.7</t>
  </si>
  <si>
    <t>4.5</t>
  </si>
  <si>
    <t>10.5</t>
  </si>
  <si>
    <t>28.58</t>
  </si>
  <si>
    <t>30.43</t>
  </si>
  <si>
    <t>8.23</t>
  </si>
  <si>
    <t>4.19</t>
  </si>
  <si>
    <t>28.6</t>
  </si>
  <si>
    <t>19.8</t>
  </si>
  <si>
    <t>46.8</t>
  </si>
  <si>
    <t>3.5</t>
  </si>
  <si>
    <t>28.37</t>
  </si>
  <si>
    <t>4.23</t>
  </si>
  <si>
    <t>8.06</t>
  </si>
  <si>
    <t>3.79</t>
  </si>
  <si>
    <t>4.84</t>
  </si>
  <si>
    <t>7.68</t>
  </si>
  <si>
    <t>0.25</t>
  </si>
  <si>
    <t>28.10</t>
  </si>
  <si>
    <t>30.40</t>
  </si>
  <si>
    <t>8.2</t>
  </si>
  <si>
    <t>3.47</t>
  </si>
  <si>
    <t>28.5</t>
  </si>
  <si>
    <t>28.15</t>
  </si>
  <si>
    <t>30.81</t>
  </si>
  <si>
    <t>8.22</t>
  </si>
  <si>
    <t>3.72</t>
  </si>
  <si>
    <t>28.9</t>
  </si>
  <si>
    <t>19.1</t>
  </si>
  <si>
    <t>47.3</t>
  </si>
  <si>
    <t>28.53</t>
  </si>
  <si>
    <t>31.41</t>
  </si>
  <si>
    <t>3.96</t>
  </si>
  <si>
    <t>29.4</t>
  </si>
  <si>
    <t>48.2</t>
  </si>
  <si>
    <t>6.2</t>
  </si>
  <si>
    <t>28.23</t>
  </si>
  <si>
    <t>31.26</t>
  </si>
  <si>
    <t>29.3</t>
  </si>
  <si>
    <t>10.9</t>
  </si>
  <si>
    <t>48.0</t>
  </si>
  <si>
    <t>28.51</t>
  </si>
  <si>
    <t>31.71</t>
  </si>
  <si>
    <t>3.95</t>
  </si>
  <si>
    <t>29.6</t>
  </si>
  <si>
    <t>4.8</t>
  </si>
  <si>
    <t>48.6</t>
  </si>
  <si>
    <t>35.5</t>
  </si>
  <si>
    <t>28.62</t>
  </si>
  <si>
    <t>31.78</t>
  </si>
  <si>
    <t>3.51</t>
  </si>
  <si>
    <t>29.7</t>
  </si>
  <si>
    <t>6.9</t>
  </si>
  <si>
    <t>48.7</t>
  </si>
  <si>
    <t>13.8</t>
  </si>
  <si>
    <t>28.35</t>
  </si>
  <si>
    <t>31.84</t>
  </si>
  <si>
    <t>3.98</t>
  </si>
  <si>
    <t>4.1</t>
  </si>
  <si>
    <t>48.8</t>
  </si>
  <si>
    <t>27.81</t>
  </si>
  <si>
    <t>27.48</t>
  </si>
  <si>
    <t>8.20</t>
  </si>
  <si>
    <t>5.70</t>
  </si>
  <si>
    <t>26.1</t>
  </si>
  <si>
    <t>67.9</t>
  </si>
  <si>
    <t>42.7</t>
  </si>
  <si>
    <t>7.5</t>
  </si>
  <si>
    <t>28.34</t>
  </si>
  <si>
    <t>31.05</t>
  </si>
  <si>
    <t>8.38</t>
  </si>
  <si>
    <t>5.50</t>
  </si>
  <si>
    <t>29.1</t>
  </si>
  <si>
    <t>23.3</t>
  </si>
  <si>
    <t>47.7</t>
  </si>
  <si>
    <t>27.72</t>
  </si>
  <si>
    <t>28.85</t>
  </si>
  <si>
    <t>8.13</t>
  </si>
  <si>
    <t>27.2</t>
  </si>
  <si>
    <t>22.8</t>
  </si>
  <si>
    <t>44.6</t>
  </si>
  <si>
    <t>1.5</t>
  </si>
  <si>
    <t>7.2</t>
  </si>
  <si>
    <t>8.46</t>
  </si>
  <si>
    <t>3.02</t>
  </si>
  <si>
    <t>10.2</t>
  </si>
  <si>
    <t>2.6</t>
  </si>
  <si>
    <t>28.12</t>
  </si>
  <si>
    <t>31.85</t>
  </si>
  <si>
    <t>8.40</t>
  </si>
  <si>
    <t>3.67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</si>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</sst>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1" fontId="1" fillId="6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962F-0BC9-5947-963B-98A2BEE3EB80}">
  <dimension ref="A1:AJ16"/>
  <sheetViews>
    <sheetView tabSelected="1" workbookViewId="0">
      <selection activeCell="E24" sqref="E24"/>
    </sheetView>
  </sheetViews>
  <sheetFormatPr baseColWidth="10" defaultRowHeight="16" x14ac:dyDescent="0.2"/>
  <sheetData>
    <row r="1" spans="1:36" x14ac:dyDescent="0.2">
      <c r="A1" s="1" t="s">
        <v>0</v>
      </c>
      <c r="B1" s="1" t="s">
        <v>1</v>
      </c>
      <c r="C1" s="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13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3" t="s">
        <v>32</v>
      </c>
      <c r="AI1" s="13" t="s">
        <v>33</v>
      </c>
      <c r="AJ1" s="13" t="s">
        <v>34</v>
      </c>
    </row>
    <row r="2" spans="1:36" x14ac:dyDescent="0.2">
      <c r="A2" s="1" t="s">
        <v>35</v>
      </c>
      <c r="B2" s="1">
        <v>1</v>
      </c>
      <c r="C2" s="5" t="s">
        <v>36</v>
      </c>
      <c r="D2" s="15">
        <v>7912</v>
      </c>
      <c r="E2" s="15">
        <v>1840</v>
      </c>
      <c r="F2" s="15">
        <v>736</v>
      </c>
      <c r="G2" s="15">
        <f>1104 + 184</f>
        <v>1288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552</v>
      </c>
      <c r="N2" s="15">
        <v>4968</v>
      </c>
      <c r="O2" s="15">
        <v>1472</v>
      </c>
      <c r="P2" s="15">
        <v>0</v>
      </c>
      <c r="Q2" s="15">
        <v>0</v>
      </c>
      <c r="R2" s="15">
        <v>1840</v>
      </c>
      <c r="S2" s="15">
        <v>1104</v>
      </c>
      <c r="T2" s="15">
        <v>0</v>
      </c>
      <c r="U2" s="15">
        <v>1288</v>
      </c>
      <c r="V2" s="15">
        <v>368</v>
      </c>
      <c r="W2" s="15">
        <f>1656+184</f>
        <v>1840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3">
        <v>0</v>
      </c>
      <c r="AI2" s="13">
        <v>0</v>
      </c>
      <c r="AJ2" s="13">
        <v>0</v>
      </c>
    </row>
    <row r="3" spans="1:36" x14ac:dyDescent="0.2">
      <c r="A3" s="1" t="s">
        <v>35</v>
      </c>
      <c r="B3" s="1">
        <v>2</v>
      </c>
      <c r="C3" s="5" t="s">
        <v>37</v>
      </c>
      <c r="D3" s="15">
        <v>8832</v>
      </c>
      <c r="E3" s="15">
        <v>920</v>
      </c>
      <c r="F3" s="16">
        <v>0</v>
      </c>
      <c r="G3" s="15">
        <v>552</v>
      </c>
      <c r="H3" s="15">
        <v>1472</v>
      </c>
      <c r="I3" s="15">
        <v>1104</v>
      </c>
      <c r="J3" s="15">
        <v>0</v>
      </c>
      <c r="K3" s="15">
        <v>0</v>
      </c>
      <c r="L3" s="15">
        <v>0</v>
      </c>
      <c r="M3" s="15">
        <v>1104</v>
      </c>
      <c r="N3" s="16">
        <v>0</v>
      </c>
      <c r="O3" s="15">
        <v>1656</v>
      </c>
      <c r="P3" s="15">
        <v>552</v>
      </c>
      <c r="Q3" s="15">
        <v>0</v>
      </c>
      <c r="R3" s="15">
        <v>1104</v>
      </c>
      <c r="S3" s="15">
        <v>1472</v>
      </c>
      <c r="T3" s="15">
        <v>0</v>
      </c>
      <c r="U3" s="15">
        <v>0</v>
      </c>
      <c r="V3" s="16">
        <v>0</v>
      </c>
      <c r="W3" s="15">
        <v>920</v>
      </c>
      <c r="X3" s="15">
        <v>1288</v>
      </c>
      <c r="Y3" s="15">
        <v>1104</v>
      </c>
      <c r="Z3" s="15">
        <v>552</v>
      </c>
      <c r="AA3" s="15">
        <v>368</v>
      </c>
      <c r="AB3" s="15">
        <v>4232</v>
      </c>
      <c r="AC3" s="15">
        <v>368</v>
      </c>
      <c r="AD3" s="15">
        <v>184</v>
      </c>
      <c r="AE3" s="15">
        <v>0</v>
      </c>
      <c r="AF3" s="15">
        <v>0</v>
      </c>
      <c r="AG3" s="15">
        <v>0</v>
      </c>
      <c r="AH3" s="13">
        <v>0</v>
      </c>
      <c r="AI3" s="13">
        <v>0</v>
      </c>
      <c r="AJ3" s="13">
        <v>0</v>
      </c>
    </row>
    <row r="4" spans="1:36" x14ac:dyDescent="0.2">
      <c r="A4" s="1" t="s">
        <v>35</v>
      </c>
      <c r="B4" s="1">
        <v>3</v>
      </c>
      <c r="C4" s="5" t="s">
        <v>38</v>
      </c>
      <c r="D4" s="15">
        <v>68129</v>
      </c>
      <c r="E4" s="15">
        <v>3048</v>
      </c>
      <c r="F4" s="15">
        <v>179</v>
      </c>
      <c r="G4" s="15">
        <v>1434</v>
      </c>
      <c r="H4" s="15">
        <v>8606</v>
      </c>
      <c r="I4" s="15">
        <v>717</v>
      </c>
      <c r="J4" s="15">
        <v>179</v>
      </c>
      <c r="K4" s="15">
        <v>1076</v>
      </c>
      <c r="L4" s="15">
        <v>179</v>
      </c>
      <c r="M4" s="15">
        <v>717</v>
      </c>
      <c r="N4" s="15">
        <v>3586</v>
      </c>
      <c r="O4" s="15">
        <v>1255</v>
      </c>
      <c r="P4" s="15">
        <v>359</v>
      </c>
      <c r="Q4" s="15">
        <v>1076</v>
      </c>
      <c r="R4" s="15">
        <v>1972</v>
      </c>
      <c r="S4" s="15">
        <v>717</v>
      </c>
      <c r="T4" s="15">
        <v>3944</v>
      </c>
      <c r="U4" s="15">
        <v>717</v>
      </c>
      <c r="V4" s="15">
        <v>359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6">
        <v>0</v>
      </c>
      <c r="AH4" s="13">
        <v>0</v>
      </c>
      <c r="AI4" s="13">
        <v>0</v>
      </c>
      <c r="AJ4" s="13">
        <v>0</v>
      </c>
    </row>
    <row r="5" spans="1:36" x14ac:dyDescent="0.2">
      <c r="A5" s="1" t="s">
        <v>35</v>
      </c>
      <c r="B5" s="1">
        <v>4</v>
      </c>
      <c r="C5" s="5" t="s">
        <v>39</v>
      </c>
      <c r="D5" s="15">
        <v>17740</v>
      </c>
      <c r="E5" s="15">
        <v>1321</v>
      </c>
      <c r="F5" s="16">
        <v>0</v>
      </c>
      <c r="G5" s="15">
        <v>377</v>
      </c>
      <c r="H5" s="15">
        <v>1510</v>
      </c>
      <c r="I5" s="15">
        <v>377</v>
      </c>
      <c r="J5" s="15">
        <v>189</v>
      </c>
      <c r="K5" s="15">
        <v>755</v>
      </c>
      <c r="L5" s="15">
        <v>0</v>
      </c>
      <c r="M5" s="15">
        <v>189</v>
      </c>
      <c r="N5" s="15">
        <v>0</v>
      </c>
      <c r="O5" s="15">
        <v>189</v>
      </c>
      <c r="P5" s="15">
        <v>0</v>
      </c>
      <c r="Q5" s="15">
        <v>0</v>
      </c>
      <c r="R5" s="15">
        <v>377</v>
      </c>
      <c r="S5" s="15">
        <v>944</v>
      </c>
      <c r="T5" s="15">
        <v>1321</v>
      </c>
      <c r="U5" s="15">
        <v>377</v>
      </c>
      <c r="V5" s="15">
        <v>189</v>
      </c>
      <c r="W5" s="15">
        <v>0</v>
      </c>
      <c r="X5" s="15">
        <v>189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944</v>
      </c>
      <c r="AG5" s="15">
        <v>377</v>
      </c>
      <c r="AH5" s="13">
        <v>0</v>
      </c>
      <c r="AI5" s="13">
        <v>0</v>
      </c>
      <c r="AJ5" s="13">
        <v>0</v>
      </c>
    </row>
    <row r="6" spans="1:36" x14ac:dyDescent="0.2">
      <c r="A6" s="1" t="s">
        <v>35</v>
      </c>
      <c r="B6" s="1">
        <v>5</v>
      </c>
      <c r="C6" s="5" t="s">
        <v>40</v>
      </c>
      <c r="D6" s="15">
        <v>13185</v>
      </c>
      <c r="E6" s="15">
        <v>2102</v>
      </c>
      <c r="F6" s="15">
        <v>1529</v>
      </c>
      <c r="G6" s="15">
        <v>1720</v>
      </c>
      <c r="H6" s="15">
        <v>382</v>
      </c>
      <c r="I6" s="15">
        <v>1338</v>
      </c>
      <c r="J6" s="15">
        <v>0</v>
      </c>
      <c r="K6" s="15">
        <v>0</v>
      </c>
      <c r="L6" s="15">
        <v>0</v>
      </c>
      <c r="M6" s="15">
        <v>191</v>
      </c>
      <c r="N6" s="16">
        <v>0</v>
      </c>
      <c r="O6" s="15">
        <v>0</v>
      </c>
      <c r="P6" s="15">
        <v>1146</v>
      </c>
      <c r="Q6" s="15">
        <v>0</v>
      </c>
      <c r="R6" s="15">
        <v>955</v>
      </c>
      <c r="S6" s="15">
        <v>382</v>
      </c>
      <c r="T6" s="15">
        <v>1338</v>
      </c>
      <c r="U6" s="15">
        <v>382</v>
      </c>
      <c r="V6" s="15">
        <v>191</v>
      </c>
      <c r="W6" s="15">
        <v>0</v>
      </c>
      <c r="X6" s="15">
        <v>0</v>
      </c>
      <c r="Y6" s="15">
        <v>4395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382</v>
      </c>
      <c r="AF6" s="15">
        <v>0</v>
      </c>
      <c r="AG6" s="15">
        <v>0</v>
      </c>
      <c r="AH6" s="13">
        <v>0</v>
      </c>
      <c r="AI6" s="13">
        <v>0</v>
      </c>
      <c r="AJ6" s="13">
        <v>0</v>
      </c>
    </row>
    <row r="7" spans="1:36" x14ac:dyDescent="0.2">
      <c r="A7" s="1" t="s">
        <v>41</v>
      </c>
      <c r="B7" s="1">
        <v>1</v>
      </c>
      <c r="C7" s="9" t="s">
        <v>42</v>
      </c>
      <c r="D7" s="14">
        <v>13623</v>
      </c>
      <c r="E7" s="13">
        <v>0</v>
      </c>
      <c r="F7" s="14">
        <v>545</v>
      </c>
      <c r="G7" s="14">
        <v>1635</v>
      </c>
      <c r="H7" s="14">
        <v>1272</v>
      </c>
      <c r="I7" s="14">
        <v>545</v>
      </c>
      <c r="J7" s="13">
        <v>0</v>
      </c>
      <c r="K7" s="14">
        <v>908</v>
      </c>
      <c r="L7" s="13">
        <v>0</v>
      </c>
      <c r="M7" s="14">
        <v>908</v>
      </c>
      <c r="N7" s="14">
        <v>1816</v>
      </c>
      <c r="O7" s="13">
        <v>0</v>
      </c>
      <c r="P7" s="13">
        <v>0</v>
      </c>
      <c r="Q7" s="14">
        <v>182</v>
      </c>
      <c r="R7" s="14">
        <v>3088</v>
      </c>
      <c r="S7" s="14">
        <v>908</v>
      </c>
      <c r="T7" s="13">
        <v>0</v>
      </c>
      <c r="U7" s="14">
        <v>363</v>
      </c>
      <c r="V7" s="13">
        <v>0</v>
      </c>
      <c r="W7" s="13">
        <v>0</v>
      </c>
      <c r="X7" s="14">
        <v>182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4">
        <v>363</v>
      </c>
      <c r="AH7" s="13">
        <v>0</v>
      </c>
      <c r="AI7" s="13">
        <v>0</v>
      </c>
      <c r="AJ7" s="13">
        <v>0</v>
      </c>
    </row>
    <row r="8" spans="1:36" x14ac:dyDescent="0.2">
      <c r="A8" s="1" t="s">
        <v>41</v>
      </c>
      <c r="B8" s="1">
        <v>2</v>
      </c>
      <c r="C8" s="9" t="s">
        <v>43</v>
      </c>
      <c r="D8" s="14">
        <v>34777</v>
      </c>
      <c r="E8" s="13">
        <v>0</v>
      </c>
      <c r="F8" s="13">
        <v>0</v>
      </c>
      <c r="G8" s="14">
        <v>2101</v>
      </c>
      <c r="H8" s="14">
        <v>4395</v>
      </c>
      <c r="I8" s="14">
        <v>1146</v>
      </c>
      <c r="J8" s="13">
        <v>0</v>
      </c>
      <c r="K8" s="13">
        <v>0</v>
      </c>
      <c r="L8" s="13">
        <v>0</v>
      </c>
      <c r="M8" s="14">
        <v>955</v>
      </c>
      <c r="N8" s="14">
        <v>3439</v>
      </c>
      <c r="O8" s="13">
        <v>0</v>
      </c>
      <c r="P8" s="14">
        <v>191</v>
      </c>
      <c r="Q8" s="13">
        <v>0</v>
      </c>
      <c r="R8" s="14">
        <v>2293</v>
      </c>
      <c r="S8" s="14">
        <v>1529</v>
      </c>
      <c r="T8" s="13">
        <v>0</v>
      </c>
      <c r="U8" s="14">
        <v>191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4">
        <v>1720</v>
      </c>
      <c r="AG8" s="13">
        <v>0</v>
      </c>
      <c r="AH8" s="13">
        <v>0</v>
      </c>
      <c r="AI8" s="13">
        <v>0</v>
      </c>
      <c r="AJ8" s="13">
        <v>0</v>
      </c>
    </row>
    <row r="9" spans="1:36" x14ac:dyDescent="0.2">
      <c r="A9" s="1" t="s">
        <v>41</v>
      </c>
      <c r="B9" s="1">
        <v>3</v>
      </c>
      <c r="C9" s="9" t="s">
        <v>44</v>
      </c>
      <c r="D9" s="14">
        <v>14713</v>
      </c>
      <c r="E9" s="13">
        <v>0</v>
      </c>
      <c r="F9" s="13">
        <v>0</v>
      </c>
      <c r="G9" s="14">
        <v>1529</v>
      </c>
      <c r="H9" s="14">
        <v>4586</v>
      </c>
      <c r="I9" s="14">
        <v>1146</v>
      </c>
      <c r="J9" s="13">
        <v>0</v>
      </c>
      <c r="K9" s="13">
        <v>0</v>
      </c>
      <c r="L9" s="13">
        <v>0</v>
      </c>
      <c r="M9" s="14">
        <v>1529</v>
      </c>
      <c r="N9" s="14">
        <v>2866</v>
      </c>
      <c r="O9" s="14">
        <v>573</v>
      </c>
      <c r="P9" s="13">
        <v>0</v>
      </c>
      <c r="Q9" s="13">
        <v>0</v>
      </c>
      <c r="R9" s="14">
        <v>1529</v>
      </c>
      <c r="S9" s="14">
        <v>764</v>
      </c>
      <c r="T9" s="14">
        <v>382</v>
      </c>
      <c r="U9" s="14">
        <v>764</v>
      </c>
      <c r="V9" s="13">
        <v>0</v>
      </c>
      <c r="W9" s="14">
        <v>382</v>
      </c>
      <c r="X9" s="14">
        <v>573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</row>
    <row r="10" spans="1:36" x14ac:dyDescent="0.2">
      <c r="A10" s="1" t="s">
        <v>41</v>
      </c>
      <c r="B10" s="1">
        <v>4</v>
      </c>
      <c r="C10" s="9" t="s">
        <v>45</v>
      </c>
      <c r="D10" s="14">
        <v>98684</v>
      </c>
      <c r="E10" s="13">
        <v>0</v>
      </c>
      <c r="F10" s="14">
        <v>2154</v>
      </c>
      <c r="G10" s="14">
        <v>6853</v>
      </c>
      <c r="H10" s="14">
        <v>19384</v>
      </c>
      <c r="I10" s="14">
        <v>5091</v>
      </c>
      <c r="J10" s="13">
        <v>0</v>
      </c>
      <c r="K10" s="14">
        <v>783</v>
      </c>
      <c r="L10" s="13">
        <v>0</v>
      </c>
      <c r="M10" s="14">
        <v>3329</v>
      </c>
      <c r="N10" s="14">
        <v>12727</v>
      </c>
      <c r="O10" s="14">
        <v>587</v>
      </c>
      <c r="P10" s="13">
        <v>0</v>
      </c>
      <c r="Q10" s="14">
        <v>2350</v>
      </c>
      <c r="R10" s="14">
        <v>4503</v>
      </c>
      <c r="S10" s="14">
        <v>1175</v>
      </c>
      <c r="T10" s="14">
        <v>1958</v>
      </c>
      <c r="U10" s="14">
        <v>1175</v>
      </c>
      <c r="V10" s="13">
        <v>0</v>
      </c>
      <c r="W10" s="14">
        <v>979</v>
      </c>
      <c r="X10" s="14">
        <v>587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4">
        <v>392</v>
      </c>
      <c r="AE10" s="13">
        <v>0</v>
      </c>
      <c r="AF10" s="14">
        <v>392</v>
      </c>
      <c r="AG10" s="14">
        <v>783</v>
      </c>
      <c r="AH10" s="14">
        <v>1566</v>
      </c>
      <c r="AI10" s="14">
        <v>1566</v>
      </c>
      <c r="AJ10" s="13">
        <v>0</v>
      </c>
    </row>
    <row r="11" spans="1:36" x14ac:dyDescent="0.2">
      <c r="A11" s="1" t="s">
        <v>41</v>
      </c>
      <c r="B11" s="1">
        <v>5</v>
      </c>
      <c r="C11" s="9" t="s">
        <v>46</v>
      </c>
      <c r="D11" s="14">
        <v>6039</v>
      </c>
      <c r="E11" s="13">
        <v>0</v>
      </c>
      <c r="F11" s="14">
        <v>755</v>
      </c>
      <c r="G11" s="14">
        <v>944</v>
      </c>
      <c r="H11" s="14">
        <v>3208</v>
      </c>
      <c r="I11" s="14">
        <v>755</v>
      </c>
      <c r="J11" s="13">
        <v>0</v>
      </c>
      <c r="K11" s="14">
        <v>1132</v>
      </c>
      <c r="L11" s="13">
        <v>0</v>
      </c>
      <c r="M11" s="14">
        <v>377</v>
      </c>
      <c r="N11" s="14">
        <v>566</v>
      </c>
      <c r="O11" s="13">
        <v>0</v>
      </c>
      <c r="P11" s="13">
        <v>0</v>
      </c>
      <c r="Q11" s="14">
        <v>755</v>
      </c>
      <c r="R11" s="14">
        <v>2076</v>
      </c>
      <c r="S11" s="14">
        <v>189</v>
      </c>
      <c r="T11" s="13">
        <v>0</v>
      </c>
      <c r="U11" s="14">
        <v>189</v>
      </c>
      <c r="V11" s="13">
        <v>0</v>
      </c>
      <c r="W11" s="13">
        <v>0</v>
      </c>
      <c r="X11" s="14">
        <v>377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</row>
    <row r="12" spans="1:36" x14ac:dyDescent="0.2">
      <c r="A12" s="1" t="s">
        <v>47</v>
      </c>
      <c r="B12" s="1">
        <v>1</v>
      </c>
      <c r="C12" s="12" t="s">
        <v>48</v>
      </c>
      <c r="D12" s="14">
        <v>623</v>
      </c>
      <c r="E12" s="13">
        <v>0</v>
      </c>
      <c r="F12" s="13">
        <v>0</v>
      </c>
      <c r="G12" s="13">
        <v>0</v>
      </c>
      <c r="H12" s="13">
        <v>0</v>
      </c>
      <c r="I12" s="14">
        <v>78</v>
      </c>
      <c r="J12" s="13">
        <v>0</v>
      </c>
      <c r="K12" s="13">
        <v>0</v>
      </c>
      <c r="L12" s="13">
        <v>0</v>
      </c>
      <c r="M12" s="14">
        <v>389</v>
      </c>
      <c r="N12" s="13">
        <v>0</v>
      </c>
      <c r="O12" s="14">
        <v>389</v>
      </c>
      <c r="P12" s="14">
        <v>78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4">
        <v>1090</v>
      </c>
      <c r="X12" s="14">
        <v>156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4">
        <v>78</v>
      </c>
    </row>
    <row r="13" spans="1:36" x14ac:dyDescent="0.2">
      <c r="A13" s="1" t="s">
        <v>47</v>
      </c>
      <c r="B13" s="1">
        <v>2</v>
      </c>
      <c r="C13" s="12" t="s">
        <v>49</v>
      </c>
      <c r="D13" s="14">
        <v>1585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4">
        <v>226</v>
      </c>
      <c r="N13" s="13">
        <v>0</v>
      </c>
      <c r="O13" s="14">
        <v>1359</v>
      </c>
      <c r="P13" s="14">
        <v>453</v>
      </c>
      <c r="Q13" s="13">
        <v>0</v>
      </c>
      <c r="R13" s="14">
        <v>226</v>
      </c>
      <c r="S13" s="13">
        <v>0</v>
      </c>
      <c r="T13" s="13">
        <v>0</v>
      </c>
      <c r="U13" s="13">
        <v>0</v>
      </c>
      <c r="V13" s="13">
        <v>0</v>
      </c>
      <c r="W13" s="14">
        <v>1132</v>
      </c>
      <c r="X13" s="14">
        <v>679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4">
        <v>453</v>
      </c>
      <c r="AH13" s="13">
        <v>0</v>
      </c>
      <c r="AI13" s="13">
        <v>0</v>
      </c>
      <c r="AJ13" s="13">
        <v>0</v>
      </c>
    </row>
    <row r="14" spans="1:36" x14ac:dyDescent="0.2">
      <c r="A14" s="1" t="s">
        <v>47</v>
      </c>
      <c r="B14" s="1">
        <v>3</v>
      </c>
      <c r="C14" s="12" t="s">
        <v>50</v>
      </c>
      <c r="D14" s="14">
        <v>628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1524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4">
        <v>448</v>
      </c>
      <c r="X14" s="14">
        <v>359</v>
      </c>
      <c r="Y14" s="13">
        <v>0</v>
      </c>
      <c r="Z14" s="14">
        <v>90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4">
        <v>179</v>
      </c>
      <c r="AJ14" s="13">
        <v>0</v>
      </c>
    </row>
    <row r="15" spans="1:36" x14ac:dyDescent="0.2">
      <c r="A15" s="1" t="s">
        <v>47</v>
      </c>
      <c r="B15" s="1">
        <v>4</v>
      </c>
      <c r="C15" s="12" t="s">
        <v>51</v>
      </c>
      <c r="D15" s="14">
        <v>7134</v>
      </c>
      <c r="E15" s="13">
        <v>0</v>
      </c>
      <c r="F15" s="13">
        <v>0</v>
      </c>
      <c r="G15" s="13">
        <v>0</v>
      </c>
      <c r="H15" s="14">
        <v>198</v>
      </c>
      <c r="I15" s="13">
        <v>0</v>
      </c>
      <c r="J15" s="13">
        <v>0</v>
      </c>
      <c r="K15" s="13">
        <v>0</v>
      </c>
      <c r="L15" s="14">
        <v>198</v>
      </c>
      <c r="M15" s="14">
        <v>793</v>
      </c>
      <c r="N15" s="13">
        <v>0</v>
      </c>
      <c r="O15" s="14">
        <v>198</v>
      </c>
      <c r="P15" s="14">
        <v>198</v>
      </c>
      <c r="Q15" s="14">
        <v>396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4">
        <v>991</v>
      </c>
      <c r="X15" s="14">
        <v>396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4">
        <v>4756</v>
      </c>
      <c r="AI15" s="14">
        <v>991</v>
      </c>
      <c r="AJ15" s="13">
        <v>0</v>
      </c>
    </row>
    <row r="16" spans="1:36" x14ac:dyDescent="0.2">
      <c r="A16" s="1" t="s">
        <v>47</v>
      </c>
      <c r="B16" s="1">
        <v>5</v>
      </c>
      <c r="C16" s="12" t="s">
        <v>52</v>
      </c>
      <c r="D16" s="13">
        <v>0</v>
      </c>
      <c r="E16" s="13">
        <v>0</v>
      </c>
      <c r="F16" s="13">
        <v>0</v>
      </c>
      <c r="G16" s="14">
        <v>177</v>
      </c>
      <c r="H16" s="13">
        <v>0</v>
      </c>
      <c r="I16" s="14">
        <v>177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4">
        <v>177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4">
        <v>1238</v>
      </c>
      <c r="AA16" s="13">
        <v>0</v>
      </c>
      <c r="AB16" s="13">
        <v>0</v>
      </c>
      <c r="AC16" s="13">
        <v>0</v>
      </c>
      <c r="AD16" s="14">
        <v>531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2AFA-B82C-0D44-94FB-781ED5D235D1}">
  <dimension ref="A1:O16"/>
  <sheetViews>
    <sheetView workbookViewId="0">
      <selection activeCell="E22" sqref="E22"/>
    </sheetView>
  </sheetViews>
  <sheetFormatPr baseColWidth="10" defaultRowHeight="16" x14ac:dyDescent="0.2"/>
  <cols>
    <col min="33" max="35" width="10.83203125" customWidth="1"/>
  </cols>
  <sheetData>
    <row r="1" spans="1:15" ht="34" x14ac:dyDescent="0.2">
      <c r="A1" s="1" t="s">
        <v>0</v>
      </c>
      <c r="B1" s="1" t="s">
        <v>1</v>
      </c>
      <c r="C1" s="2" t="s">
        <v>2</v>
      </c>
      <c r="D1" s="3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</row>
    <row r="2" spans="1:15" x14ac:dyDescent="0.2">
      <c r="A2" s="1" t="s">
        <v>35</v>
      </c>
      <c r="B2" s="1">
        <v>1</v>
      </c>
      <c r="C2" s="5" t="s">
        <v>36</v>
      </c>
      <c r="D2" s="6">
        <v>6</v>
      </c>
      <c r="E2" s="6" t="s">
        <v>65</v>
      </c>
      <c r="F2" s="6" t="s">
        <v>66</v>
      </c>
      <c r="G2" s="6" t="s">
        <v>67</v>
      </c>
      <c r="H2" s="4">
        <v>-143</v>
      </c>
      <c r="I2" s="6" t="s">
        <v>68</v>
      </c>
      <c r="J2" s="6" t="s">
        <v>69</v>
      </c>
      <c r="K2" s="6" t="s">
        <v>70</v>
      </c>
      <c r="L2" s="6">
        <v>127</v>
      </c>
      <c r="M2" s="6" t="s">
        <v>71</v>
      </c>
      <c r="N2" s="6" t="s">
        <v>72</v>
      </c>
      <c r="O2" s="7">
        <v>27.54</v>
      </c>
    </row>
    <row r="3" spans="1:15" x14ac:dyDescent="0.2">
      <c r="A3" s="1" t="s">
        <v>35</v>
      </c>
      <c r="B3" s="1">
        <v>2</v>
      </c>
      <c r="C3" s="5" t="s">
        <v>37</v>
      </c>
      <c r="D3" s="4" t="s">
        <v>73</v>
      </c>
      <c r="E3" s="6" t="s">
        <v>74</v>
      </c>
      <c r="F3" s="6" t="s">
        <v>75</v>
      </c>
      <c r="G3" s="6" t="s">
        <v>76</v>
      </c>
      <c r="H3" s="4">
        <v>-143</v>
      </c>
      <c r="I3" s="6" t="s">
        <v>77</v>
      </c>
      <c r="J3" s="6" t="s">
        <v>78</v>
      </c>
      <c r="K3" s="6" t="s">
        <v>79</v>
      </c>
      <c r="L3" s="6">
        <v>111</v>
      </c>
      <c r="M3" s="6" t="s">
        <v>80</v>
      </c>
      <c r="N3" s="6">
        <v>5</v>
      </c>
      <c r="O3" s="7">
        <v>26.23</v>
      </c>
    </row>
    <row r="4" spans="1:15" x14ac:dyDescent="0.2">
      <c r="A4" s="1" t="s">
        <v>35</v>
      </c>
      <c r="B4" s="1">
        <v>3</v>
      </c>
      <c r="C4" s="5" t="s">
        <v>38</v>
      </c>
      <c r="D4" s="4" t="s">
        <v>81</v>
      </c>
      <c r="E4" s="6" t="s">
        <v>82</v>
      </c>
      <c r="F4" s="6" t="s">
        <v>83</v>
      </c>
      <c r="G4" s="6" t="s">
        <v>84</v>
      </c>
      <c r="H4" s="4">
        <v>-140</v>
      </c>
      <c r="I4" s="6" t="s">
        <v>85</v>
      </c>
      <c r="J4" s="6" t="s">
        <v>86</v>
      </c>
      <c r="K4" s="6">
        <v>180</v>
      </c>
      <c r="L4" s="6">
        <v>144</v>
      </c>
      <c r="M4" s="6" t="s">
        <v>87</v>
      </c>
      <c r="N4" s="6" t="s">
        <v>88</v>
      </c>
      <c r="O4" s="7">
        <v>38.28</v>
      </c>
    </row>
    <row r="5" spans="1:15" x14ac:dyDescent="0.2">
      <c r="A5" s="1" t="s">
        <v>35</v>
      </c>
      <c r="B5" s="1">
        <v>4</v>
      </c>
      <c r="C5" s="5" t="s">
        <v>39</v>
      </c>
      <c r="D5" s="4">
        <v>27</v>
      </c>
      <c r="E5" s="6" t="s">
        <v>89</v>
      </c>
      <c r="F5" s="6" t="s">
        <v>90</v>
      </c>
      <c r="G5" s="6" t="s">
        <v>91</v>
      </c>
      <c r="H5" s="4">
        <v>-143</v>
      </c>
      <c r="I5" s="6" t="s">
        <v>92</v>
      </c>
      <c r="J5" s="6" t="s">
        <v>93</v>
      </c>
      <c r="K5" s="8" t="s">
        <v>79</v>
      </c>
      <c r="L5" s="6">
        <v>155</v>
      </c>
      <c r="M5" s="6" t="s">
        <v>80</v>
      </c>
      <c r="N5" s="6">
        <v>5</v>
      </c>
      <c r="O5" s="7">
        <v>37.93</v>
      </c>
    </row>
    <row r="6" spans="1:15" x14ac:dyDescent="0.2">
      <c r="A6" s="1" t="s">
        <v>35</v>
      </c>
      <c r="B6" s="1">
        <v>5</v>
      </c>
      <c r="C6" s="5" t="s">
        <v>40</v>
      </c>
      <c r="D6" s="4">
        <v>9</v>
      </c>
      <c r="E6" s="6" t="s">
        <v>94</v>
      </c>
      <c r="F6" s="6" t="s">
        <v>95</v>
      </c>
      <c r="G6" s="6" t="s">
        <v>96</v>
      </c>
      <c r="H6" s="4">
        <v>-143</v>
      </c>
      <c r="I6" s="6" t="s">
        <v>97</v>
      </c>
      <c r="J6" s="6" t="s">
        <v>98</v>
      </c>
      <c r="K6" s="7" t="s">
        <v>99</v>
      </c>
      <c r="L6" s="6">
        <v>113</v>
      </c>
      <c r="M6" s="6" t="s">
        <v>100</v>
      </c>
      <c r="N6" s="6">
        <v>4</v>
      </c>
      <c r="O6" s="7">
        <v>24.750000000000014</v>
      </c>
    </row>
    <row r="7" spans="1:15" x14ac:dyDescent="0.2">
      <c r="A7" s="1" t="s">
        <v>41</v>
      </c>
      <c r="B7" s="1">
        <v>1</v>
      </c>
      <c r="C7" s="9" t="s">
        <v>42</v>
      </c>
      <c r="D7" s="10">
        <v>13</v>
      </c>
      <c r="E7" s="10" t="s">
        <v>101</v>
      </c>
      <c r="F7" s="10" t="s">
        <v>102</v>
      </c>
      <c r="G7" s="10">
        <v>8.25</v>
      </c>
      <c r="H7" s="11">
        <v>-139</v>
      </c>
      <c r="I7" s="10" t="s">
        <v>103</v>
      </c>
      <c r="J7" s="10" t="s">
        <v>104</v>
      </c>
      <c r="K7" s="10" t="s">
        <v>68</v>
      </c>
      <c r="L7" s="10">
        <v>48</v>
      </c>
      <c r="M7" s="10" t="s">
        <v>105</v>
      </c>
      <c r="N7" s="10">
        <v>8</v>
      </c>
      <c r="O7" s="7">
        <v>27.37</v>
      </c>
    </row>
    <row r="8" spans="1:15" x14ac:dyDescent="0.2">
      <c r="A8" s="1" t="s">
        <v>41</v>
      </c>
      <c r="B8" s="1">
        <v>2</v>
      </c>
      <c r="C8" s="9" t="s">
        <v>43</v>
      </c>
      <c r="D8" s="10" t="s">
        <v>106</v>
      </c>
      <c r="E8" s="10" t="s">
        <v>107</v>
      </c>
      <c r="F8" s="10" t="s">
        <v>108</v>
      </c>
      <c r="G8" s="10">
        <v>8.18</v>
      </c>
      <c r="H8" s="11">
        <v>-129</v>
      </c>
      <c r="I8" s="10" t="s">
        <v>92</v>
      </c>
      <c r="J8" s="10" t="s">
        <v>109</v>
      </c>
      <c r="K8" s="10" t="s">
        <v>110</v>
      </c>
      <c r="L8" s="10">
        <v>53</v>
      </c>
      <c r="M8" s="10" t="s">
        <v>111</v>
      </c>
      <c r="N8" s="10">
        <v>4</v>
      </c>
      <c r="O8" s="7">
        <v>30.51</v>
      </c>
    </row>
    <row r="9" spans="1:15" x14ac:dyDescent="0.2">
      <c r="A9" s="1" t="s">
        <v>41</v>
      </c>
      <c r="B9" s="1">
        <v>3</v>
      </c>
      <c r="C9" s="9" t="s">
        <v>44</v>
      </c>
      <c r="D9" s="10">
        <v>18</v>
      </c>
      <c r="E9" s="10" t="s">
        <v>112</v>
      </c>
      <c r="F9" s="10" t="s">
        <v>113</v>
      </c>
      <c r="G9" s="10">
        <v>8.25</v>
      </c>
      <c r="H9" s="11">
        <v>-139</v>
      </c>
      <c r="I9" s="10" t="s">
        <v>114</v>
      </c>
      <c r="J9" s="10" t="s">
        <v>115</v>
      </c>
      <c r="K9" s="10" t="s">
        <v>116</v>
      </c>
      <c r="L9" s="10">
        <v>82</v>
      </c>
      <c r="M9" s="10" t="s">
        <v>117</v>
      </c>
      <c r="N9" s="10">
        <v>5</v>
      </c>
      <c r="O9" s="7">
        <v>29.83</v>
      </c>
    </row>
    <row r="10" spans="1:15" x14ac:dyDescent="0.2">
      <c r="A10" s="1" t="s">
        <v>41</v>
      </c>
      <c r="B10" s="1">
        <v>4</v>
      </c>
      <c r="C10" s="9" t="s">
        <v>45</v>
      </c>
      <c r="D10" s="10" t="s">
        <v>118</v>
      </c>
      <c r="E10" s="10" t="s">
        <v>119</v>
      </c>
      <c r="F10" s="10" t="s">
        <v>120</v>
      </c>
      <c r="G10" s="10">
        <v>8.3400000000000016</v>
      </c>
      <c r="H10" s="11">
        <v>-146</v>
      </c>
      <c r="I10" s="10" t="s">
        <v>121</v>
      </c>
      <c r="J10" s="10" t="s">
        <v>122</v>
      </c>
      <c r="K10" s="10" t="s">
        <v>123</v>
      </c>
      <c r="L10" s="10">
        <v>67</v>
      </c>
      <c r="M10" s="10" t="s">
        <v>124</v>
      </c>
      <c r="N10" s="10">
        <v>9</v>
      </c>
      <c r="O10" s="7">
        <v>30.16</v>
      </c>
    </row>
    <row r="11" spans="1:15" x14ac:dyDescent="0.2">
      <c r="A11" s="1" t="s">
        <v>41</v>
      </c>
      <c r="B11" s="1">
        <v>5</v>
      </c>
      <c r="C11" s="9" t="s">
        <v>46</v>
      </c>
      <c r="D11" s="10" t="s">
        <v>125</v>
      </c>
      <c r="E11" s="10" t="s">
        <v>126</v>
      </c>
      <c r="F11" s="10" t="s">
        <v>127</v>
      </c>
      <c r="G11" s="10">
        <v>8.32</v>
      </c>
      <c r="H11" s="10">
        <v>-144</v>
      </c>
      <c r="I11" s="10" t="s">
        <v>128</v>
      </c>
      <c r="J11" s="10" t="s">
        <v>122</v>
      </c>
      <c r="K11" s="11" t="s">
        <v>129</v>
      </c>
      <c r="L11" s="10">
        <v>76</v>
      </c>
      <c r="M11" s="10" t="s">
        <v>130</v>
      </c>
      <c r="N11" s="10">
        <v>5</v>
      </c>
      <c r="O11" s="7">
        <v>26.67</v>
      </c>
    </row>
    <row r="12" spans="1:15" x14ac:dyDescent="0.2">
      <c r="A12" s="1" t="s">
        <v>47</v>
      </c>
      <c r="B12" s="1">
        <v>1</v>
      </c>
      <c r="C12" s="12" t="s">
        <v>48</v>
      </c>
      <c r="D12" s="6">
        <v>1</v>
      </c>
      <c r="E12" s="6" t="s">
        <v>131</v>
      </c>
      <c r="F12" s="6" t="s">
        <v>132</v>
      </c>
      <c r="G12" s="7" t="s">
        <v>133</v>
      </c>
      <c r="H12" s="8">
        <v>-138</v>
      </c>
      <c r="I12" s="6" t="s">
        <v>134</v>
      </c>
      <c r="J12" s="6" t="s">
        <v>135</v>
      </c>
      <c r="K12" s="6" t="s">
        <v>136</v>
      </c>
      <c r="L12" s="6">
        <v>87</v>
      </c>
      <c r="M12" s="6" t="s">
        <v>137</v>
      </c>
      <c r="N12" s="6">
        <v>1</v>
      </c>
      <c r="O12" s="7">
        <v>54.58</v>
      </c>
    </row>
    <row r="13" spans="1:15" x14ac:dyDescent="0.2">
      <c r="A13" s="1" t="s">
        <v>47</v>
      </c>
      <c r="B13" s="1">
        <v>2</v>
      </c>
      <c r="C13" s="12" t="s">
        <v>49</v>
      </c>
      <c r="D13" s="6" t="s">
        <v>138</v>
      </c>
      <c r="E13" s="6" t="s">
        <v>139</v>
      </c>
      <c r="F13" s="6" t="s">
        <v>140</v>
      </c>
      <c r="G13" s="7" t="s">
        <v>141</v>
      </c>
      <c r="H13" s="8">
        <v>-148</v>
      </c>
      <c r="I13" s="6" t="s">
        <v>142</v>
      </c>
      <c r="J13" s="6" t="s">
        <v>143</v>
      </c>
      <c r="K13" s="6" t="s">
        <v>144</v>
      </c>
      <c r="L13" s="6">
        <v>83</v>
      </c>
      <c r="M13" s="6" t="s">
        <v>145</v>
      </c>
      <c r="N13" s="6">
        <v>2</v>
      </c>
      <c r="O13" s="7">
        <v>38.31</v>
      </c>
    </row>
    <row r="14" spans="1:15" x14ac:dyDescent="0.2">
      <c r="A14" s="1" t="s">
        <v>47</v>
      </c>
      <c r="B14" s="1">
        <v>3</v>
      </c>
      <c r="C14" s="12" t="s">
        <v>50</v>
      </c>
      <c r="D14" s="6">
        <v>2</v>
      </c>
      <c r="E14" s="6" t="s">
        <v>146</v>
      </c>
      <c r="F14" s="6" t="s">
        <v>147</v>
      </c>
      <c r="G14" s="7" t="s">
        <v>148</v>
      </c>
      <c r="H14" s="8">
        <v>-134</v>
      </c>
      <c r="I14" s="6" t="s">
        <v>85</v>
      </c>
      <c r="J14" s="6" t="s">
        <v>149</v>
      </c>
      <c r="K14" s="6" t="s">
        <v>150</v>
      </c>
      <c r="L14" s="6">
        <v>92</v>
      </c>
      <c r="M14" s="6" t="s">
        <v>151</v>
      </c>
      <c r="N14" s="6" t="s">
        <v>152</v>
      </c>
      <c r="O14" s="7">
        <v>31.53</v>
      </c>
    </row>
    <row r="15" spans="1:15" x14ac:dyDescent="0.2">
      <c r="A15" s="1" t="s">
        <v>47</v>
      </c>
      <c r="B15" s="1">
        <v>4</v>
      </c>
      <c r="C15" s="12" t="s">
        <v>51</v>
      </c>
      <c r="D15" s="6" t="s">
        <v>153</v>
      </c>
      <c r="E15" s="6" t="s">
        <v>126</v>
      </c>
      <c r="F15" s="6" t="s">
        <v>113</v>
      </c>
      <c r="G15" s="7" t="s">
        <v>154</v>
      </c>
      <c r="H15" s="8">
        <v>-153</v>
      </c>
      <c r="I15" s="6" t="s">
        <v>155</v>
      </c>
      <c r="J15" s="6" t="s">
        <v>115</v>
      </c>
      <c r="K15" s="6" t="s">
        <v>156</v>
      </c>
      <c r="L15" s="6">
        <v>63</v>
      </c>
      <c r="M15" s="6" t="s">
        <v>117</v>
      </c>
      <c r="N15" s="6">
        <v>3</v>
      </c>
      <c r="O15" s="7">
        <v>35</v>
      </c>
    </row>
    <row r="16" spans="1:15" x14ac:dyDescent="0.2">
      <c r="A16" s="1" t="s">
        <v>47</v>
      </c>
      <c r="B16" s="1">
        <v>5</v>
      </c>
      <c r="C16" s="12" t="s">
        <v>52</v>
      </c>
      <c r="D16" s="6" t="s">
        <v>157</v>
      </c>
      <c r="E16" s="6" t="s">
        <v>158</v>
      </c>
      <c r="F16" s="6" t="s">
        <v>159</v>
      </c>
      <c r="G16" s="7" t="s">
        <v>160</v>
      </c>
      <c r="H16" s="8">
        <v>-149</v>
      </c>
      <c r="I16" s="6" t="s">
        <v>161</v>
      </c>
      <c r="J16" s="6" t="s">
        <v>122</v>
      </c>
      <c r="K16" s="6" t="s">
        <v>162</v>
      </c>
      <c r="L16" s="6">
        <v>70</v>
      </c>
      <c r="M16" s="6" t="s">
        <v>130</v>
      </c>
      <c r="N16" s="6" t="s">
        <v>157</v>
      </c>
      <c r="O16" s="7">
        <v>23.28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spesies</vt:lpstr>
      <vt:lpstr>parameter lingkungan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NATHANYA CHRISTY SHANIE AVISSA</dc:creator>
  <cp:lastModifiedBy>NATHANYA CHRISTY SHANIE AVISSA</cp:lastModifiedBy>
  <dcterms:created xsi:type="dcterms:W3CDTF">2024-03-18T04:37:35Z</dcterms:created>
  <dcterms:modified xsi:type="dcterms:W3CDTF">2024-03-18T04:46:51Z</dcterms:modified>
</cp:coreProperties>
</file>