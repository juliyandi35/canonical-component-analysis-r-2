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6181\"/>
    </mc:Choice>
  </mc:AlternateContent>
  <xr:revisionPtr revIDLastSave="0" documentId="13_ncr:1_{67587F51-A668-48DC-8A13-5A8327997ACB}" xr6:coauthVersionLast="47" xr6:coauthVersionMax="47" xr10:uidLastSave="{00000000-0000-0000-0000-000000000000}"/>
  <bookViews>
    <workbookView xWindow="-110" yWindow="-110" windowWidth="19420" windowHeight="10300" xr2:uid="{6C9A6335-3BF5-3345-9931-F37DF4A316B4}"/>
  </bookViews>
  <sheets>
    <sheet name="gabungan" sheetId="1" r:id="rId1"/>
    <sheet name="Sheet1" sheetId="5" r:id="rId2"/>
    <sheet name="awang" sheetId="2" r:id="rId3"/>
    <sheet name="paremas" sheetId="3" r:id="rId4"/>
    <sheet name="seriw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8" i="2" l="1"/>
  <c r="Q18" i="2"/>
  <c r="Q37" i="5"/>
  <c r="P37" i="5"/>
  <c r="G2" i="1"/>
  <c r="W2" i="1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C23" i="5"/>
  <c r="C7" i="5"/>
  <c r="U2" i="2"/>
  <c r="E2" i="2"/>
</calcChain>
</file>

<file path=xl/sharedStrings.xml><?xml version="1.0" encoding="utf-8"?>
<sst xmlns="http://schemas.openxmlformats.org/spreadsheetml/2006/main" count="548" uniqueCount="178">
  <si>
    <t>Chaetoceros</t>
  </si>
  <si>
    <t>Ditylum</t>
  </si>
  <si>
    <t>Meuniera</t>
  </si>
  <si>
    <t>Proboscia</t>
  </si>
  <si>
    <t>Bacteriastrum</t>
  </si>
  <si>
    <t>Pseudosolenia</t>
  </si>
  <si>
    <t>Cyclotella</t>
  </si>
  <si>
    <t>Pseudo-nitzschia</t>
  </si>
  <si>
    <t>Nitzschia</t>
  </si>
  <si>
    <t>Ceratium</t>
  </si>
  <si>
    <t>Lauderia</t>
  </si>
  <si>
    <t>Thalassiosira</t>
  </si>
  <si>
    <t>Coscinodiscus</t>
  </si>
  <si>
    <t>Lyngbya</t>
  </si>
  <si>
    <t>Rhizosolenia</t>
  </si>
  <si>
    <t>Odontella</t>
  </si>
  <si>
    <t>Thalassionema</t>
  </si>
  <si>
    <t>Hemiaulus</t>
  </si>
  <si>
    <t>Protoperidinium</t>
  </si>
  <si>
    <t>Pleurosigma</t>
  </si>
  <si>
    <t>Cylindrotheca</t>
  </si>
  <si>
    <t>Climacosphenia</t>
  </si>
  <si>
    <t>Eucampia</t>
  </si>
  <si>
    <t>Bellerochea</t>
  </si>
  <si>
    <t>Stephanopyxis</t>
  </si>
  <si>
    <t>Licmophora</t>
  </si>
  <si>
    <t>Asteromphalus</t>
  </si>
  <si>
    <t>Climacodium</t>
  </si>
  <si>
    <t>Dinophysis</t>
  </si>
  <si>
    <t>Asterionellopsis</t>
  </si>
  <si>
    <t>Rhabdonema</t>
  </si>
  <si>
    <t>Trichodesmium</t>
  </si>
  <si>
    <t>AW1</t>
  </si>
  <si>
    <t>AW2</t>
  </si>
  <si>
    <t>AW3</t>
  </si>
  <si>
    <t>AW4</t>
  </si>
  <si>
    <t>AW5</t>
  </si>
  <si>
    <t>PM1</t>
  </si>
  <si>
    <t>PM2</t>
  </si>
  <si>
    <t>PM3</t>
  </si>
  <si>
    <t>PM4</t>
  </si>
  <si>
    <t>PM5</t>
  </si>
  <si>
    <t>SR1</t>
  </si>
  <si>
    <t>SR2</t>
  </si>
  <si>
    <t>SR3</t>
  </si>
  <si>
    <t>SR4</t>
  </si>
  <si>
    <t>SR5</t>
  </si>
  <si>
    <t>Kedalaman Laut</t>
  </si>
  <si>
    <t>Kedalaman sampling</t>
  </si>
  <si>
    <t>T</t>
  </si>
  <si>
    <t>S</t>
  </si>
  <si>
    <t>pH</t>
  </si>
  <si>
    <t>pHmV</t>
  </si>
  <si>
    <t>DO</t>
  </si>
  <si>
    <t>TDS</t>
  </si>
  <si>
    <t>Turbidity</t>
  </si>
  <si>
    <t>ORP</t>
  </si>
  <si>
    <t>Konduktivitas</t>
  </si>
  <si>
    <t>Secchi</t>
  </si>
  <si>
    <t>TSS</t>
  </si>
  <si>
    <t>29.50</t>
  </si>
  <si>
    <t>29.64</t>
  </si>
  <si>
    <t>8.18</t>
  </si>
  <si>
    <t>3.4</t>
  </si>
  <si>
    <t>27.9</t>
  </si>
  <si>
    <t>21.6</t>
  </si>
  <si>
    <t>45.7</t>
  </si>
  <si>
    <t>4.5</t>
  </si>
  <si>
    <t>10.5</t>
  </si>
  <si>
    <t>28.58</t>
  </si>
  <si>
    <t>30.43</t>
  </si>
  <si>
    <t>8.23</t>
  </si>
  <si>
    <t>4.19</t>
  </si>
  <si>
    <t>28.6</t>
  </si>
  <si>
    <t>19.8</t>
  </si>
  <si>
    <t>46.8</t>
  </si>
  <si>
    <t>3.5</t>
  </si>
  <si>
    <t>28.37</t>
  </si>
  <si>
    <t>4.23</t>
  </si>
  <si>
    <t>8.06</t>
  </si>
  <si>
    <t>3.79</t>
  </si>
  <si>
    <t>4.84</t>
  </si>
  <si>
    <t>7.68</t>
  </si>
  <si>
    <t>0.25</t>
  </si>
  <si>
    <t>28.10</t>
  </si>
  <si>
    <t>30.40</t>
  </si>
  <si>
    <t>8.2</t>
  </si>
  <si>
    <t>3.47</t>
  </si>
  <si>
    <t>28.5</t>
  </si>
  <si>
    <t>28.15</t>
  </si>
  <si>
    <t>30.81</t>
  </si>
  <si>
    <t>8.22</t>
  </si>
  <si>
    <t>3.72</t>
  </si>
  <si>
    <t>28.9</t>
  </si>
  <si>
    <t>19.1</t>
  </si>
  <si>
    <t>47.3</t>
  </si>
  <si>
    <t>28.53</t>
  </si>
  <si>
    <t>31.41</t>
  </si>
  <si>
    <t>3.96</t>
  </si>
  <si>
    <t>29.4</t>
  </si>
  <si>
    <t>48.2</t>
  </si>
  <si>
    <t>6.2</t>
  </si>
  <si>
    <t>28.23</t>
  </si>
  <si>
    <t>31.26</t>
  </si>
  <si>
    <t>29.3</t>
  </si>
  <si>
    <t>10.9</t>
  </si>
  <si>
    <t>48.0</t>
  </si>
  <si>
    <t>28.51</t>
  </si>
  <si>
    <t>31.71</t>
  </si>
  <si>
    <t>3.95</t>
  </si>
  <si>
    <t>29.6</t>
  </si>
  <si>
    <t>4.8</t>
  </si>
  <si>
    <t>48.6</t>
  </si>
  <si>
    <t>35.5</t>
  </si>
  <si>
    <t>28.62</t>
  </si>
  <si>
    <t>31.78</t>
  </si>
  <si>
    <t>3.51</t>
  </si>
  <si>
    <t>29.7</t>
  </si>
  <si>
    <t>6.9</t>
  </si>
  <si>
    <t>48.7</t>
  </si>
  <si>
    <t>13.8</t>
  </si>
  <si>
    <t>28.35</t>
  </si>
  <si>
    <t>31.84</t>
  </si>
  <si>
    <t>3.98</t>
  </si>
  <si>
    <t>4.1</t>
  </si>
  <si>
    <t>48.8</t>
  </si>
  <si>
    <t>27.81</t>
  </si>
  <si>
    <t>27.48</t>
  </si>
  <si>
    <t>8.20</t>
  </si>
  <si>
    <t>5.70</t>
  </si>
  <si>
    <t>26.1</t>
  </si>
  <si>
    <t>67.9</t>
  </si>
  <si>
    <t>42.7</t>
  </si>
  <si>
    <t>7.5</t>
  </si>
  <si>
    <t>28.34</t>
  </si>
  <si>
    <t>31.05</t>
  </si>
  <si>
    <t>8.38</t>
  </si>
  <si>
    <t>5.50</t>
  </si>
  <si>
    <t>29.1</t>
  </si>
  <si>
    <t>23.3</t>
  </si>
  <si>
    <t>47.7</t>
  </si>
  <si>
    <t>27.72</t>
  </si>
  <si>
    <t>28.85</t>
  </si>
  <si>
    <t>8.13</t>
  </si>
  <si>
    <t>27.2</t>
  </si>
  <si>
    <t>22.8</t>
  </si>
  <si>
    <t>44.6</t>
  </si>
  <si>
    <t>1.5</t>
  </si>
  <si>
    <t>7.2</t>
  </si>
  <si>
    <t>8.46</t>
  </si>
  <si>
    <t>3.02</t>
  </si>
  <si>
    <t>10.2</t>
  </si>
  <si>
    <t>2.6</t>
  </si>
  <si>
    <t>28.12</t>
  </si>
  <si>
    <t>31.85</t>
  </si>
  <si>
    <t>8.40</t>
  </si>
  <si>
    <t>3.67</t>
  </si>
  <si>
    <t>1.6</t>
  </si>
  <si>
    <t>Lokasi</t>
  </si>
  <si>
    <t>Awang</t>
  </si>
  <si>
    <t>Paremas</t>
  </si>
  <si>
    <t>Seriwe</t>
  </si>
  <si>
    <t>Kode</t>
  </si>
  <si>
    <t>Stasiun</t>
  </si>
  <si>
    <t>Genera</t>
  </si>
  <si>
    <t>Grup</t>
  </si>
  <si>
    <t>ST1</t>
  </si>
  <si>
    <t>ST2</t>
  </si>
  <si>
    <t>ST3</t>
  </si>
  <si>
    <t>ST4</t>
  </si>
  <si>
    <t>ST5</t>
  </si>
  <si>
    <t>Diatom</t>
  </si>
  <si>
    <t>Cyanobacteria</t>
  </si>
  <si>
    <t>Dinoflagelata</t>
  </si>
  <si>
    <t>Total Density</t>
  </si>
  <si>
    <t>Total Cyanobacteria</t>
  </si>
  <si>
    <t>Total Diatom</t>
  </si>
  <si>
    <t>Total Dinoflagelata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</si>
</sst>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3" fillId="3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2" borderId="0" xfId="0" applyNumberFormat="1" applyFill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4" fillId="5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center" vertical="center"/>
    </xf>
    <xf numFmtId="0" fontId="0" fillId="7" borderId="0" xfId="0" applyFill="1"/>
    <xf numFmtId="0" fontId="4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5687-7F8E-9849-8BFF-757396260496}">
  <dimension ref="A1:AW16"/>
  <sheetViews>
    <sheetView tabSelected="1" topLeftCell="AK1" zoomScale="80" zoomScaleNormal="125" workbookViewId="0">
      <selection activeCell="AX16" sqref="AX16"/>
    </sheetView>
  </sheetViews>
  <sheetFormatPr defaultColWidth="10.83203125" defaultRowHeight="15.5" x14ac:dyDescent="0.35"/>
  <cols>
    <col min="1" max="36" width="10.83203125" style="2"/>
    <col min="37" max="37" width="15.83203125" style="2" customWidth="1"/>
    <col min="38" max="38" width="18.5" style="2" customWidth="1"/>
    <col min="39" max="16384" width="10.83203125" style="2"/>
  </cols>
  <sheetData>
    <row r="1" spans="1:49" ht="12.75" customHeight="1" x14ac:dyDescent="0.35">
      <c r="A1" s="2" t="s">
        <v>158</v>
      </c>
      <c r="B1" s="2" t="s">
        <v>163</v>
      </c>
      <c r="C1" s="22" t="s">
        <v>162</v>
      </c>
      <c r="D1" s="7" t="s">
        <v>0</v>
      </c>
      <c r="E1" s="7" t="s">
        <v>1</v>
      </c>
      <c r="F1" s="7" t="s">
        <v>2</v>
      </c>
      <c r="G1" s="7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10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8" t="s">
        <v>27</v>
      </c>
      <c r="AG1" s="8" t="s">
        <v>28</v>
      </c>
      <c r="AH1" s="7" t="s">
        <v>29</v>
      </c>
      <c r="AI1" s="7" t="s">
        <v>30</v>
      </c>
      <c r="AJ1" s="7" t="s">
        <v>31</v>
      </c>
      <c r="AK1" s="11" t="s">
        <v>47</v>
      </c>
      <c r="AL1" s="11" t="s">
        <v>48</v>
      </c>
      <c r="AM1" s="12" t="s">
        <v>49</v>
      </c>
      <c r="AN1" s="12" t="s">
        <v>50</v>
      </c>
      <c r="AO1" s="12" t="s">
        <v>51</v>
      </c>
      <c r="AP1" s="12" t="s">
        <v>52</v>
      </c>
      <c r="AQ1" s="12" t="s">
        <v>53</v>
      </c>
      <c r="AR1" s="12" t="s">
        <v>54</v>
      </c>
      <c r="AS1" s="12" t="s">
        <v>55</v>
      </c>
      <c r="AT1" s="12" t="s">
        <v>56</v>
      </c>
      <c r="AU1" s="12" t="s">
        <v>57</v>
      </c>
      <c r="AV1" s="12" t="s">
        <v>58</v>
      </c>
      <c r="AW1" s="12" t="s">
        <v>59</v>
      </c>
    </row>
    <row r="2" spans="1:49" x14ac:dyDescent="0.35">
      <c r="A2" s="2" t="s">
        <v>159</v>
      </c>
      <c r="B2" s="2">
        <v>1</v>
      </c>
      <c r="C2" s="26" t="s">
        <v>32</v>
      </c>
      <c r="D2" s="9">
        <v>7912</v>
      </c>
      <c r="E2" s="9">
        <v>1840</v>
      </c>
      <c r="F2" s="9">
        <v>736</v>
      </c>
      <c r="G2" s="9">
        <f>1104 + 184</f>
        <v>1288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552</v>
      </c>
      <c r="N2" s="9">
        <v>4968</v>
      </c>
      <c r="O2" s="9">
        <v>1472</v>
      </c>
      <c r="P2" s="9">
        <v>0</v>
      </c>
      <c r="Q2" s="9">
        <v>0</v>
      </c>
      <c r="R2" s="9">
        <v>1840</v>
      </c>
      <c r="S2" s="9">
        <v>1104</v>
      </c>
      <c r="T2" s="9">
        <v>0</v>
      </c>
      <c r="U2" s="9">
        <v>1288</v>
      </c>
      <c r="V2" s="9">
        <v>368</v>
      </c>
      <c r="W2" s="9">
        <f>1656+184</f>
        <v>1840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7">
        <v>0</v>
      </c>
      <c r="AI2" s="7">
        <v>0</v>
      </c>
      <c r="AJ2" s="7">
        <v>0</v>
      </c>
      <c r="AK2" s="13">
        <v>6</v>
      </c>
      <c r="AL2" s="12">
        <v>1</v>
      </c>
      <c r="AM2" s="13">
        <v>29.5</v>
      </c>
      <c r="AN2" s="13">
        <v>29.64</v>
      </c>
      <c r="AO2" s="13">
        <v>8.18</v>
      </c>
      <c r="AP2" s="12">
        <v>-143</v>
      </c>
      <c r="AQ2" s="13">
        <v>3.4</v>
      </c>
      <c r="AR2" s="13">
        <v>27.9</v>
      </c>
      <c r="AS2" s="13">
        <v>21.6</v>
      </c>
      <c r="AT2" s="13">
        <v>127</v>
      </c>
      <c r="AU2" s="13">
        <v>45.7</v>
      </c>
      <c r="AV2" s="13">
        <v>4.5</v>
      </c>
      <c r="AW2" s="14">
        <v>27.54</v>
      </c>
    </row>
    <row r="3" spans="1:49" x14ac:dyDescent="0.35">
      <c r="A3" s="2" t="s">
        <v>159</v>
      </c>
      <c r="B3" s="2">
        <v>2</v>
      </c>
      <c r="C3" s="26" t="s">
        <v>33</v>
      </c>
      <c r="D3" s="9">
        <v>8832</v>
      </c>
      <c r="E3" s="9">
        <v>920</v>
      </c>
      <c r="F3" s="10">
        <v>0</v>
      </c>
      <c r="G3" s="9">
        <v>552</v>
      </c>
      <c r="H3" s="9">
        <v>1472</v>
      </c>
      <c r="I3" s="9">
        <v>1104</v>
      </c>
      <c r="J3" s="9">
        <v>0</v>
      </c>
      <c r="K3" s="9">
        <v>0</v>
      </c>
      <c r="L3" s="9">
        <v>0</v>
      </c>
      <c r="M3" s="9">
        <v>1104</v>
      </c>
      <c r="N3" s="10">
        <v>0</v>
      </c>
      <c r="O3" s="9">
        <v>1656</v>
      </c>
      <c r="P3" s="9">
        <v>552</v>
      </c>
      <c r="Q3" s="9">
        <v>0</v>
      </c>
      <c r="R3" s="9">
        <v>1104</v>
      </c>
      <c r="S3" s="9">
        <v>1472</v>
      </c>
      <c r="T3" s="9">
        <v>0</v>
      </c>
      <c r="U3" s="9">
        <v>0</v>
      </c>
      <c r="V3" s="10">
        <v>0</v>
      </c>
      <c r="W3" s="9">
        <v>920</v>
      </c>
      <c r="X3" s="9">
        <v>1288</v>
      </c>
      <c r="Y3" s="9">
        <v>1104</v>
      </c>
      <c r="Z3" s="9">
        <v>552</v>
      </c>
      <c r="AA3" s="9">
        <v>368</v>
      </c>
      <c r="AB3" s="9">
        <v>4232</v>
      </c>
      <c r="AC3" s="9">
        <v>368</v>
      </c>
      <c r="AD3" s="9">
        <v>184</v>
      </c>
      <c r="AE3" s="9">
        <v>0</v>
      </c>
      <c r="AF3" s="9">
        <v>0</v>
      </c>
      <c r="AG3" s="9">
        <v>0</v>
      </c>
      <c r="AH3" s="7">
        <v>0</v>
      </c>
      <c r="AI3" s="7">
        <v>0</v>
      </c>
      <c r="AJ3" s="7">
        <v>0</v>
      </c>
      <c r="AK3" s="12">
        <v>10.5</v>
      </c>
      <c r="AL3" s="12">
        <v>1</v>
      </c>
      <c r="AM3" s="13">
        <v>28.58</v>
      </c>
      <c r="AN3" s="13">
        <v>30.43</v>
      </c>
      <c r="AO3" s="13">
        <v>8.23</v>
      </c>
      <c r="AP3" s="12">
        <v>-143</v>
      </c>
      <c r="AQ3" s="13">
        <v>4.1900000000000004</v>
      </c>
      <c r="AR3" s="13">
        <v>28.6</v>
      </c>
      <c r="AS3" s="13">
        <v>19.8</v>
      </c>
      <c r="AT3" s="13">
        <v>111</v>
      </c>
      <c r="AU3" s="13">
        <v>46.8</v>
      </c>
      <c r="AV3" s="13">
        <v>5</v>
      </c>
      <c r="AW3" s="14">
        <v>26.23</v>
      </c>
    </row>
    <row r="4" spans="1:49" x14ac:dyDescent="0.35">
      <c r="A4" s="2" t="s">
        <v>159</v>
      </c>
      <c r="B4" s="2">
        <v>3</v>
      </c>
      <c r="C4" s="26" t="s">
        <v>34</v>
      </c>
      <c r="D4" s="9">
        <v>68129</v>
      </c>
      <c r="E4" s="9">
        <v>3048</v>
      </c>
      <c r="F4" s="9">
        <v>179</v>
      </c>
      <c r="G4" s="9">
        <v>1434</v>
      </c>
      <c r="H4" s="9">
        <v>8606</v>
      </c>
      <c r="I4" s="9">
        <v>717</v>
      </c>
      <c r="J4" s="9">
        <v>179</v>
      </c>
      <c r="K4" s="9">
        <v>1076</v>
      </c>
      <c r="L4" s="9">
        <v>179</v>
      </c>
      <c r="M4" s="9">
        <v>717</v>
      </c>
      <c r="N4" s="9">
        <v>3586</v>
      </c>
      <c r="O4" s="9">
        <v>1255</v>
      </c>
      <c r="P4" s="9">
        <v>359</v>
      </c>
      <c r="Q4" s="9">
        <v>1076</v>
      </c>
      <c r="R4" s="9">
        <v>1972</v>
      </c>
      <c r="S4" s="9">
        <v>717</v>
      </c>
      <c r="T4" s="9">
        <v>3944</v>
      </c>
      <c r="U4" s="9">
        <v>717</v>
      </c>
      <c r="V4" s="9">
        <v>359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10">
        <v>0</v>
      </c>
      <c r="AH4" s="7">
        <v>0</v>
      </c>
      <c r="AI4" s="7">
        <v>0</v>
      </c>
      <c r="AJ4" s="7">
        <v>0</v>
      </c>
      <c r="AK4" s="12">
        <v>3.5</v>
      </c>
      <c r="AL4" s="12">
        <v>1</v>
      </c>
      <c r="AM4" s="13">
        <v>28.37</v>
      </c>
      <c r="AN4" s="13">
        <v>4.2300000000000004</v>
      </c>
      <c r="AO4" s="13">
        <v>8.06</v>
      </c>
      <c r="AP4" s="12">
        <v>-140</v>
      </c>
      <c r="AQ4" s="13">
        <v>3.79</v>
      </c>
      <c r="AR4" s="13">
        <v>4.84</v>
      </c>
      <c r="AS4" s="13">
        <v>180</v>
      </c>
      <c r="AT4" s="13">
        <v>144</v>
      </c>
      <c r="AU4" s="13">
        <v>7.68</v>
      </c>
      <c r="AV4" s="13">
        <v>0.25</v>
      </c>
      <c r="AW4" s="14">
        <v>38.28</v>
      </c>
    </row>
    <row r="5" spans="1:49" x14ac:dyDescent="0.35">
      <c r="A5" s="2" t="s">
        <v>159</v>
      </c>
      <c r="B5" s="2">
        <v>4</v>
      </c>
      <c r="C5" s="26" t="s">
        <v>35</v>
      </c>
      <c r="D5" s="9">
        <v>17740</v>
      </c>
      <c r="E5" s="9">
        <v>1321</v>
      </c>
      <c r="F5" s="10">
        <v>0</v>
      </c>
      <c r="G5" s="9">
        <v>377</v>
      </c>
      <c r="H5" s="9">
        <v>1510</v>
      </c>
      <c r="I5" s="9">
        <v>377</v>
      </c>
      <c r="J5" s="9">
        <v>189</v>
      </c>
      <c r="K5" s="9">
        <v>755</v>
      </c>
      <c r="L5" s="9">
        <v>0</v>
      </c>
      <c r="M5" s="9">
        <v>189</v>
      </c>
      <c r="N5" s="9">
        <v>0</v>
      </c>
      <c r="O5" s="9">
        <v>189</v>
      </c>
      <c r="P5" s="9">
        <v>0</v>
      </c>
      <c r="Q5" s="9">
        <v>0</v>
      </c>
      <c r="R5" s="9">
        <v>377</v>
      </c>
      <c r="S5" s="9">
        <v>944</v>
      </c>
      <c r="T5" s="9">
        <v>1321</v>
      </c>
      <c r="U5" s="9">
        <v>377</v>
      </c>
      <c r="V5" s="9">
        <v>189</v>
      </c>
      <c r="W5" s="9">
        <v>0</v>
      </c>
      <c r="X5" s="9">
        <v>189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944</v>
      </c>
      <c r="AG5" s="9">
        <v>377</v>
      </c>
      <c r="AH5" s="7">
        <v>0</v>
      </c>
      <c r="AI5" s="7">
        <v>0</v>
      </c>
      <c r="AJ5" s="7">
        <v>0</v>
      </c>
      <c r="AK5" s="12">
        <v>27</v>
      </c>
      <c r="AL5" s="12">
        <v>1</v>
      </c>
      <c r="AM5" s="13">
        <v>28.1</v>
      </c>
      <c r="AN5" s="13">
        <v>30.4</v>
      </c>
      <c r="AO5" s="13">
        <v>8.1999999999999993</v>
      </c>
      <c r="AP5" s="12">
        <v>-143</v>
      </c>
      <c r="AQ5" s="13">
        <v>3.47</v>
      </c>
      <c r="AR5" s="13">
        <v>28.5</v>
      </c>
      <c r="AS5" s="15">
        <v>19.8</v>
      </c>
      <c r="AT5" s="13">
        <v>155</v>
      </c>
      <c r="AU5" s="13">
        <v>46.8</v>
      </c>
      <c r="AV5" s="13">
        <v>5</v>
      </c>
      <c r="AW5" s="14">
        <v>37.93</v>
      </c>
    </row>
    <row r="6" spans="1:49" x14ac:dyDescent="0.35">
      <c r="A6" s="2" t="s">
        <v>159</v>
      </c>
      <c r="B6" s="2">
        <v>5</v>
      </c>
      <c r="C6" s="26" t="s">
        <v>36</v>
      </c>
      <c r="D6" s="9">
        <v>13185</v>
      </c>
      <c r="E6" s="9">
        <v>2102</v>
      </c>
      <c r="F6" s="9">
        <v>1529</v>
      </c>
      <c r="G6" s="9">
        <v>1720</v>
      </c>
      <c r="H6" s="9">
        <v>382</v>
      </c>
      <c r="I6" s="9">
        <v>1338</v>
      </c>
      <c r="J6" s="9">
        <v>0</v>
      </c>
      <c r="K6" s="9">
        <v>0</v>
      </c>
      <c r="L6" s="9">
        <v>0</v>
      </c>
      <c r="M6" s="9">
        <v>191</v>
      </c>
      <c r="N6" s="10">
        <v>0</v>
      </c>
      <c r="O6" s="9">
        <v>0</v>
      </c>
      <c r="P6" s="9">
        <v>1146</v>
      </c>
      <c r="Q6" s="9">
        <v>0</v>
      </c>
      <c r="R6" s="9">
        <v>955</v>
      </c>
      <c r="S6" s="9">
        <v>382</v>
      </c>
      <c r="T6" s="9">
        <v>1338</v>
      </c>
      <c r="U6" s="9">
        <v>382</v>
      </c>
      <c r="V6" s="9">
        <v>191</v>
      </c>
      <c r="W6" s="9">
        <v>0</v>
      </c>
      <c r="X6" s="9">
        <v>0</v>
      </c>
      <c r="Y6" s="9">
        <v>4395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382</v>
      </c>
      <c r="AF6" s="9">
        <v>0</v>
      </c>
      <c r="AG6" s="9">
        <v>0</v>
      </c>
      <c r="AH6" s="7">
        <v>0</v>
      </c>
      <c r="AI6" s="7">
        <v>0</v>
      </c>
      <c r="AJ6" s="7">
        <v>0</v>
      </c>
      <c r="AK6" s="12">
        <v>9</v>
      </c>
      <c r="AL6" s="12">
        <v>1</v>
      </c>
      <c r="AM6" s="13">
        <v>28.15</v>
      </c>
      <c r="AN6" s="13">
        <v>30.81</v>
      </c>
      <c r="AO6" s="13">
        <v>8.2200000000000006</v>
      </c>
      <c r="AP6" s="12">
        <v>-143</v>
      </c>
      <c r="AQ6" s="13">
        <v>3.72</v>
      </c>
      <c r="AR6" s="13">
        <v>28.9</v>
      </c>
      <c r="AS6" s="14">
        <v>19.100000000000001</v>
      </c>
      <c r="AT6" s="13">
        <v>113</v>
      </c>
      <c r="AU6" s="13">
        <v>47.3</v>
      </c>
      <c r="AV6" s="13">
        <v>4</v>
      </c>
      <c r="AW6" s="14">
        <v>24.750000000000014</v>
      </c>
    </row>
    <row r="7" spans="1:49" x14ac:dyDescent="0.35">
      <c r="A7" s="2" t="s">
        <v>160</v>
      </c>
      <c r="B7" s="2">
        <v>1</v>
      </c>
      <c r="C7" s="27" t="s">
        <v>37</v>
      </c>
      <c r="D7" s="8">
        <v>13623</v>
      </c>
      <c r="E7" s="7">
        <v>0</v>
      </c>
      <c r="F7" s="8">
        <v>545</v>
      </c>
      <c r="G7" s="8">
        <v>1635</v>
      </c>
      <c r="H7" s="8">
        <v>1272</v>
      </c>
      <c r="I7" s="8">
        <v>545</v>
      </c>
      <c r="J7" s="7">
        <v>0</v>
      </c>
      <c r="K7" s="8">
        <v>908</v>
      </c>
      <c r="L7" s="7">
        <v>0</v>
      </c>
      <c r="M7" s="8">
        <v>908</v>
      </c>
      <c r="N7" s="8">
        <v>1816</v>
      </c>
      <c r="O7" s="7">
        <v>0</v>
      </c>
      <c r="P7" s="7">
        <v>0</v>
      </c>
      <c r="Q7" s="8">
        <v>182</v>
      </c>
      <c r="R7" s="8">
        <v>3088</v>
      </c>
      <c r="S7" s="8">
        <v>908</v>
      </c>
      <c r="T7" s="7">
        <v>0</v>
      </c>
      <c r="U7" s="8">
        <v>363</v>
      </c>
      <c r="V7" s="7">
        <v>0</v>
      </c>
      <c r="W7" s="7">
        <v>0</v>
      </c>
      <c r="X7" s="8">
        <v>182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8">
        <v>363</v>
      </c>
      <c r="AH7" s="7">
        <v>0</v>
      </c>
      <c r="AI7" s="7">
        <v>0</v>
      </c>
      <c r="AJ7" s="7">
        <v>0</v>
      </c>
      <c r="AK7" s="16">
        <v>13</v>
      </c>
      <c r="AL7" s="16">
        <v>1</v>
      </c>
      <c r="AM7" s="16">
        <v>28.53</v>
      </c>
      <c r="AN7" s="16">
        <v>31.41</v>
      </c>
      <c r="AO7" s="16">
        <v>8.25</v>
      </c>
      <c r="AP7" s="17">
        <v>-139</v>
      </c>
      <c r="AQ7" s="16">
        <v>3.96</v>
      </c>
      <c r="AR7" s="16">
        <v>29.4</v>
      </c>
      <c r="AS7" s="16">
        <v>3.4</v>
      </c>
      <c r="AT7" s="16">
        <v>48</v>
      </c>
      <c r="AU7" s="16">
        <v>48.2</v>
      </c>
      <c r="AV7" s="16">
        <v>8</v>
      </c>
      <c r="AW7" s="14">
        <v>27.37</v>
      </c>
    </row>
    <row r="8" spans="1:49" x14ac:dyDescent="0.35">
      <c r="A8" s="2" t="s">
        <v>160</v>
      </c>
      <c r="B8" s="2">
        <v>2</v>
      </c>
      <c r="C8" s="27" t="s">
        <v>38</v>
      </c>
      <c r="D8" s="8">
        <v>34777</v>
      </c>
      <c r="E8" s="7">
        <v>0</v>
      </c>
      <c r="F8" s="7">
        <v>0</v>
      </c>
      <c r="G8" s="8">
        <v>2101</v>
      </c>
      <c r="H8" s="8">
        <v>4395</v>
      </c>
      <c r="I8" s="8">
        <v>1146</v>
      </c>
      <c r="J8" s="7">
        <v>0</v>
      </c>
      <c r="K8" s="7">
        <v>0</v>
      </c>
      <c r="L8" s="7">
        <v>0</v>
      </c>
      <c r="M8" s="8">
        <v>955</v>
      </c>
      <c r="N8" s="8">
        <v>3439</v>
      </c>
      <c r="O8" s="7">
        <v>0</v>
      </c>
      <c r="P8" s="8">
        <v>191</v>
      </c>
      <c r="Q8" s="7">
        <v>0</v>
      </c>
      <c r="R8" s="8">
        <v>2293</v>
      </c>
      <c r="S8" s="8">
        <v>1529</v>
      </c>
      <c r="T8" s="7">
        <v>0</v>
      </c>
      <c r="U8" s="8">
        <v>191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8">
        <v>1720</v>
      </c>
      <c r="AG8" s="7">
        <v>0</v>
      </c>
      <c r="AH8" s="7">
        <v>0</v>
      </c>
      <c r="AI8" s="7">
        <v>0</v>
      </c>
      <c r="AJ8" s="7">
        <v>0</v>
      </c>
      <c r="AK8" s="16">
        <v>6.2</v>
      </c>
      <c r="AL8" s="16">
        <v>1</v>
      </c>
      <c r="AM8" s="16">
        <v>28.23</v>
      </c>
      <c r="AN8" s="16">
        <v>31.26</v>
      </c>
      <c r="AO8" s="16">
        <v>8.18</v>
      </c>
      <c r="AP8" s="17">
        <v>-129</v>
      </c>
      <c r="AQ8" s="16">
        <v>3.47</v>
      </c>
      <c r="AR8" s="16">
        <v>29.3</v>
      </c>
      <c r="AS8" s="16">
        <v>10.9</v>
      </c>
      <c r="AT8" s="16">
        <v>53</v>
      </c>
      <c r="AU8" s="16">
        <v>48</v>
      </c>
      <c r="AV8" s="16">
        <v>4</v>
      </c>
      <c r="AW8" s="14">
        <v>30.51</v>
      </c>
    </row>
    <row r="9" spans="1:49" x14ac:dyDescent="0.35">
      <c r="A9" s="2" t="s">
        <v>160</v>
      </c>
      <c r="B9" s="2">
        <v>3</v>
      </c>
      <c r="C9" s="27" t="s">
        <v>39</v>
      </c>
      <c r="D9" s="8">
        <v>14713</v>
      </c>
      <c r="E9" s="7">
        <v>0</v>
      </c>
      <c r="F9" s="7">
        <v>0</v>
      </c>
      <c r="G9" s="8">
        <v>1529</v>
      </c>
      <c r="H9" s="8">
        <v>4586</v>
      </c>
      <c r="I9" s="8">
        <v>1146</v>
      </c>
      <c r="J9" s="7">
        <v>0</v>
      </c>
      <c r="K9" s="7">
        <v>0</v>
      </c>
      <c r="L9" s="7">
        <v>0</v>
      </c>
      <c r="M9" s="8">
        <v>1529</v>
      </c>
      <c r="N9" s="8">
        <v>2866</v>
      </c>
      <c r="O9" s="8">
        <v>573</v>
      </c>
      <c r="P9" s="7">
        <v>0</v>
      </c>
      <c r="Q9" s="7">
        <v>0</v>
      </c>
      <c r="R9" s="8">
        <v>1529</v>
      </c>
      <c r="S9" s="8">
        <v>764</v>
      </c>
      <c r="T9" s="8">
        <v>382</v>
      </c>
      <c r="U9" s="8">
        <v>764</v>
      </c>
      <c r="V9" s="7">
        <v>0</v>
      </c>
      <c r="W9" s="8">
        <v>382</v>
      </c>
      <c r="X9" s="8">
        <v>573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16">
        <v>18</v>
      </c>
      <c r="AL9" s="16">
        <v>1</v>
      </c>
      <c r="AM9" s="16">
        <v>28.51</v>
      </c>
      <c r="AN9" s="16">
        <v>31.71</v>
      </c>
      <c r="AO9" s="16">
        <v>8.25</v>
      </c>
      <c r="AP9" s="17">
        <v>-139</v>
      </c>
      <c r="AQ9" s="16">
        <v>3.95</v>
      </c>
      <c r="AR9" s="16">
        <v>29.6</v>
      </c>
      <c r="AS9" s="16">
        <v>4.8</v>
      </c>
      <c r="AT9" s="16">
        <v>82</v>
      </c>
      <c r="AU9" s="16">
        <v>48.6</v>
      </c>
      <c r="AV9" s="16">
        <v>5</v>
      </c>
      <c r="AW9" s="14">
        <v>29.83</v>
      </c>
    </row>
    <row r="10" spans="1:49" x14ac:dyDescent="0.35">
      <c r="A10" s="2" t="s">
        <v>160</v>
      </c>
      <c r="B10" s="2">
        <v>4</v>
      </c>
      <c r="C10" s="27" t="s">
        <v>40</v>
      </c>
      <c r="D10" s="8">
        <v>98684</v>
      </c>
      <c r="E10" s="7">
        <v>0</v>
      </c>
      <c r="F10" s="8">
        <v>2154</v>
      </c>
      <c r="G10" s="8">
        <v>6853</v>
      </c>
      <c r="H10" s="8">
        <v>19384</v>
      </c>
      <c r="I10" s="8">
        <v>5091</v>
      </c>
      <c r="J10" s="7">
        <v>0</v>
      </c>
      <c r="K10" s="8">
        <v>783</v>
      </c>
      <c r="L10" s="7">
        <v>0</v>
      </c>
      <c r="M10" s="8">
        <v>3329</v>
      </c>
      <c r="N10" s="8">
        <v>12727</v>
      </c>
      <c r="O10" s="8">
        <v>587</v>
      </c>
      <c r="P10" s="7">
        <v>0</v>
      </c>
      <c r="Q10" s="8">
        <v>2350</v>
      </c>
      <c r="R10" s="8">
        <v>4503</v>
      </c>
      <c r="S10" s="8">
        <v>1175</v>
      </c>
      <c r="T10" s="8">
        <v>1958</v>
      </c>
      <c r="U10" s="8">
        <v>1175</v>
      </c>
      <c r="V10" s="7">
        <v>0</v>
      </c>
      <c r="W10" s="8">
        <v>979</v>
      </c>
      <c r="X10" s="8">
        <v>587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8">
        <v>392</v>
      </c>
      <c r="AE10" s="7">
        <v>0</v>
      </c>
      <c r="AF10" s="8">
        <v>392</v>
      </c>
      <c r="AG10" s="8">
        <v>783</v>
      </c>
      <c r="AH10" s="8">
        <v>1566</v>
      </c>
      <c r="AI10" s="8">
        <v>1566</v>
      </c>
      <c r="AJ10" s="7">
        <v>0</v>
      </c>
      <c r="AK10" s="16">
        <v>35.5</v>
      </c>
      <c r="AL10" s="16">
        <v>1</v>
      </c>
      <c r="AM10" s="16">
        <v>28.62</v>
      </c>
      <c r="AN10" s="16">
        <v>31.78</v>
      </c>
      <c r="AO10" s="16">
        <v>8.3400000000000016</v>
      </c>
      <c r="AP10" s="17">
        <v>-146</v>
      </c>
      <c r="AQ10" s="16">
        <v>3.51</v>
      </c>
      <c r="AR10" s="16">
        <v>29.7</v>
      </c>
      <c r="AS10" s="16">
        <v>6.9</v>
      </c>
      <c r="AT10" s="16">
        <v>67</v>
      </c>
      <c r="AU10" s="16">
        <v>48.7</v>
      </c>
      <c r="AV10" s="16">
        <v>9</v>
      </c>
      <c r="AW10" s="14">
        <v>30.16</v>
      </c>
    </row>
    <row r="11" spans="1:49" x14ac:dyDescent="0.35">
      <c r="A11" s="2" t="s">
        <v>160</v>
      </c>
      <c r="B11" s="2">
        <v>5</v>
      </c>
      <c r="C11" s="27" t="s">
        <v>41</v>
      </c>
      <c r="D11" s="8">
        <v>6039</v>
      </c>
      <c r="E11" s="7">
        <v>0</v>
      </c>
      <c r="F11" s="8">
        <v>755</v>
      </c>
      <c r="G11" s="8">
        <v>944</v>
      </c>
      <c r="H11" s="8">
        <v>3208</v>
      </c>
      <c r="I11" s="8">
        <v>755</v>
      </c>
      <c r="J11" s="7">
        <v>0</v>
      </c>
      <c r="K11" s="8">
        <v>1132</v>
      </c>
      <c r="L11" s="7">
        <v>0</v>
      </c>
      <c r="M11" s="8">
        <v>377</v>
      </c>
      <c r="N11" s="8">
        <v>566</v>
      </c>
      <c r="O11" s="7">
        <v>0</v>
      </c>
      <c r="P11" s="7">
        <v>0</v>
      </c>
      <c r="Q11" s="8">
        <v>755</v>
      </c>
      <c r="R11" s="8">
        <v>2076</v>
      </c>
      <c r="S11" s="8">
        <v>189</v>
      </c>
      <c r="T11" s="7">
        <v>0</v>
      </c>
      <c r="U11" s="8">
        <v>189</v>
      </c>
      <c r="V11" s="7">
        <v>0</v>
      </c>
      <c r="W11" s="7">
        <v>0</v>
      </c>
      <c r="X11" s="8">
        <v>377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16">
        <v>13.8</v>
      </c>
      <c r="AL11" s="16">
        <v>1</v>
      </c>
      <c r="AM11" s="16">
        <v>28.35</v>
      </c>
      <c r="AN11" s="16">
        <v>31.84</v>
      </c>
      <c r="AO11" s="16">
        <v>8.32</v>
      </c>
      <c r="AP11" s="16">
        <v>-144</v>
      </c>
      <c r="AQ11" s="16">
        <v>3.98</v>
      </c>
      <c r="AR11" s="16">
        <v>29.7</v>
      </c>
      <c r="AS11" s="17">
        <v>4.0999999999999996</v>
      </c>
      <c r="AT11" s="16">
        <v>76</v>
      </c>
      <c r="AU11" s="16">
        <v>48.8</v>
      </c>
      <c r="AV11" s="16">
        <v>5</v>
      </c>
      <c r="AW11" s="14">
        <v>26.67</v>
      </c>
    </row>
    <row r="12" spans="1:49" x14ac:dyDescent="0.35">
      <c r="A12" s="2" t="s">
        <v>161</v>
      </c>
      <c r="B12" s="2">
        <v>1</v>
      </c>
      <c r="C12" s="28" t="s">
        <v>42</v>
      </c>
      <c r="D12" s="8">
        <v>623</v>
      </c>
      <c r="E12" s="7">
        <v>0</v>
      </c>
      <c r="F12" s="7">
        <v>0</v>
      </c>
      <c r="G12" s="7">
        <v>0</v>
      </c>
      <c r="H12" s="7">
        <v>0</v>
      </c>
      <c r="I12" s="8">
        <v>78</v>
      </c>
      <c r="J12" s="7">
        <v>0</v>
      </c>
      <c r="K12" s="7">
        <v>0</v>
      </c>
      <c r="L12" s="7">
        <v>0</v>
      </c>
      <c r="M12" s="8">
        <v>389</v>
      </c>
      <c r="N12" s="7">
        <v>0</v>
      </c>
      <c r="O12" s="8">
        <v>389</v>
      </c>
      <c r="P12" s="8">
        <v>78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8">
        <v>1090</v>
      </c>
      <c r="X12" s="8">
        <v>156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8">
        <v>78</v>
      </c>
      <c r="AK12" s="13">
        <v>1</v>
      </c>
      <c r="AL12" s="13">
        <v>1</v>
      </c>
      <c r="AM12" s="13">
        <v>27.81</v>
      </c>
      <c r="AN12" s="13">
        <v>27.48</v>
      </c>
      <c r="AO12" s="14">
        <v>8.1999999999999993</v>
      </c>
      <c r="AP12" s="15">
        <v>-138</v>
      </c>
      <c r="AQ12" s="13">
        <v>5.7</v>
      </c>
      <c r="AR12" s="13">
        <v>26.1</v>
      </c>
      <c r="AS12" s="13">
        <v>67.900000000000006</v>
      </c>
      <c r="AT12" s="13">
        <v>87</v>
      </c>
      <c r="AU12" s="13">
        <v>42.7</v>
      </c>
      <c r="AV12" s="13">
        <v>1</v>
      </c>
      <c r="AW12" s="14">
        <v>54.58</v>
      </c>
    </row>
    <row r="13" spans="1:49" x14ac:dyDescent="0.35">
      <c r="A13" s="2" t="s">
        <v>161</v>
      </c>
      <c r="B13" s="2">
        <v>2</v>
      </c>
      <c r="C13" s="28" t="s">
        <v>43</v>
      </c>
      <c r="D13" s="8">
        <v>1585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8">
        <v>226</v>
      </c>
      <c r="N13" s="7">
        <v>0</v>
      </c>
      <c r="O13" s="8">
        <v>1359</v>
      </c>
      <c r="P13" s="8">
        <v>453</v>
      </c>
      <c r="Q13" s="7">
        <v>0</v>
      </c>
      <c r="R13" s="8">
        <v>226</v>
      </c>
      <c r="S13" s="7">
        <v>0</v>
      </c>
      <c r="T13" s="7">
        <v>0</v>
      </c>
      <c r="U13" s="7">
        <v>0</v>
      </c>
      <c r="V13" s="7">
        <v>0</v>
      </c>
      <c r="W13" s="8">
        <v>1132</v>
      </c>
      <c r="X13" s="8">
        <v>679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8">
        <v>453</v>
      </c>
      <c r="AH13" s="7">
        <v>0</v>
      </c>
      <c r="AI13" s="7">
        <v>0</v>
      </c>
      <c r="AJ13" s="7">
        <v>0</v>
      </c>
      <c r="AK13" s="13">
        <v>7.5</v>
      </c>
      <c r="AL13" s="13">
        <v>1</v>
      </c>
      <c r="AM13" s="13">
        <v>28.34</v>
      </c>
      <c r="AN13" s="13">
        <v>31.05</v>
      </c>
      <c r="AO13" s="14">
        <v>8.3800000000000008</v>
      </c>
      <c r="AP13" s="15">
        <v>-148</v>
      </c>
      <c r="AQ13" s="13">
        <v>5.5</v>
      </c>
      <c r="AR13" s="13">
        <v>29.1</v>
      </c>
      <c r="AS13" s="13">
        <v>23.3</v>
      </c>
      <c r="AT13" s="13">
        <v>83</v>
      </c>
      <c r="AU13" s="13">
        <v>47.7</v>
      </c>
      <c r="AV13" s="13">
        <v>2</v>
      </c>
      <c r="AW13" s="14">
        <v>38.31</v>
      </c>
    </row>
    <row r="14" spans="1:49" x14ac:dyDescent="0.35">
      <c r="A14" s="2" t="s">
        <v>161</v>
      </c>
      <c r="B14" s="2">
        <v>3</v>
      </c>
      <c r="C14" s="28" t="s">
        <v>44</v>
      </c>
      <c r="D14" s="8">
        <v>628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8">
        <v>1524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8">
        <v>448</v>
      </c>
      <c r="X14" s="8">
        <v>359</v>
      </c>
      <c r="Y14" s="7">
        <v>0</v>
      </c>
      <c r="Z14" s="8">
        <v>90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8">
        <v>179</v>
      </c>
      <c r="AJ14" s="7">
        <v>0</v>
      </c>
      <c r="AK14" s="13">
        <v>2</v>
      </c>
      <c r="AL14" s="13">
        <v>1</v>
      </c>
      <c r="AM14" s="13">
        <v>27.72</v>
      </c>
      <c r="AN14" s="13">
        <v>28.85</v>
      </c>
      <c r="AO14" s="14">
        <v>8.1300000000000008</v>
      </c>
      <c r="AP14" s="15">
        <v>-134</v>
      </c>
      <c r="AQ14" s="13">
        <v>3.79</v>
      </c>
      <c r="AR14" s="13">
        <v>27.2</v>
      </c>
      <c r="AS14" s="13">
        <v>22.8</v>
      </c>
      <c r="AT14" s="13">
        <v>92</v>
      </c>
      <c r="AU14" s="13">
        <v>44.6</v>
      </c>
      <c r="AV14" s="13">
        <v>1.5</v>
      </c>
      <c r="AW14" s="14">
        <v>31.53</v>
      </c>
    </row>
    <row r="15" spans="1:49" x14ac:dyDescent="0.35">
      <c r="A15" s="2" t="s">
        <v>161</v>
      </c>
      <c r="B15" s="2">
        <v>4</v>
      </c>
      <c r="C15" s="28" t="s">
        <v>45</v>
      </c>
      <c r="D15" s="8">
        <v>7134</v>
      </c>
      <c r="E15" s="7">
        <v>0</v>
      </c>
      <c r="F15" s="7">
        <v>0</v>
      </c>
      <c r="G15" s="7">
        <v>0</v>
      </c>
      <c r="H15" s="8">
        <v>198</v>
      </c>
      <c r="I15" s="7">
        <v>0</v>
      </c>
      <c r="J15" s="7">
        <v>0</v>
      </c>
      <c r="K15" s="7">
        <v>0</v>
      </c>
      <c r="L15" s="8">
        <v>198</v>
      </c>
      <c r="M15" s="8">
        <v>793</v>
      </c>
      <c r="N15" s="7">
        <v>0</v>
      </c>
      <c r="O15" s="8">
        <v>198</v>
      </c>
      <c r="P15" s="8">
        <v>198</v>
      </c>
      <c r="Q15" s="8">
        <v>396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8">
        <v>991</v>
      </c>
      <c r="X15" s="8">
        <v>396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8">
        <v>4756</v>
      </c>
      <c r="AI15" s="8">
        <v>991</v>
      </c>
      <c r="AJ15" s="7">
        <v>0</v>
      </c>
      <c r="AK15" s="13">
        <v>7.2</v>
      </c>
      <c r="AL15" s="13">
        <v>1</v>
      </c>
      <c r="AM15" s="13">
        <v>28.35</v>
      </c>
      <c r="AN15" s="13">
        <v>31.71</v>
      </c>
      <c r="AO15" s="14">
        <v>8.4600000000000009</v>
      </c>
      <c r="AP15" s="15">
        <v>-153</v>
      </c>
      <c r="AQ15" s="13">
        <v>3.02</v>
      </c>
      <c r="AR15" s="13">
        <v>29.6</v>
      </c>
      <c r="AS15" s="13">
        <v>10.199999999999999</v>
      </c>
      <c r="AT15" s="13">
        <v>63</v>
      </c>
      <c r="AU15" s="13">
        <v>48.6</v>
      </c>
      <c r="AV15" s="13">
        <v>3</v>
      </c>
      <c r="AW15" s="14">
        <v>35</v>
      </c>
    </row>
    <row r="16" spans="1:49" x14ac:dyDescent="0.35">
      <c r="A16" s="2" t="s">
        <v>161</v>
      </c>
      <c r="B16" s="2">
        <v>5</v>
      </c>
      <c r="C16" s="28" t="s">
        <v>46</v>
      </c>
      <c r="D16" s="7">
        <v>0</v>
      </c>
      <c r="E16" s="7">
        <v>0</v>
      </c>
      <c r="F16" s="7">
        <v>0</v>
      </c>
      <c r="G16" s="8">
        <v>177</v>
      </c>
      <c r="H16" s="7">
        <v>0</v>
      </c>
      <c r="I16" s="8">
        <v>177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8">
        <v>177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8">
        <v>1238</v>
      </c>
      <c r="AA16" s="7">
        <v>0</v>
      </c>
      <c r="AB16" s="7">
        <v>0</v>
      </c>
      <c r="AC16" s="7">
        <v>0</v>
      </c>
      <c r="AD16" s="8">
        <v>531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13">
        <v>2.6</v>
      </c>
      <c r="AL16" s="13">
        <v>1</v>
      </c>
      <c r="AM16" s="13">
        <v>28.12</v>
      </c>
      <c r="AN16" s="13">
        <v>31.85</v>
      </c>
      <c r="AO16" s="14">
        <v>8.4</v>
      </c>
      <c r="AP16" s="15">
        <v>-149</v>
      </c>
      <c r="AQ16" s="13">
        <v>3.67</v>
      </c>
      <c r="AR16" s="13">
        <v>29.7</v>
      </c>
      <c r="AS16" s="13">
        <v>1.6</v>
      </c>
      <c r="AT16" s="13">
        <v>70</v>
      </c>
      <c r="AU16" s="13">
        <v>48.8</v>
      </c>
      <c r="AV16" s="13">
        <v>2.6</v>
      </c>
      <c r="AW16" s="14">
        <v>23.28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06D0-9C12-8141-83A2-5F1BC8442BCC}">
  <dimension ref="A1:AK41"/>
  <sheetViews>
    <sheetView zoomScale="150" workbookViewId="0">
      <selection activeCell="C39" sqref="C39"/>
    </sheetView>
  </sheetViews>
  <sheetFormatPr defaultColWidth="10.6640625" defaultRowHeight="15.5" x14ac:dyDescent="0.35"/>
  <sheetData>
    <row r="1" spans="1:37" x14ac:dyDescent="0.35">
      <c r="B1" s="2"/>
      <c r="C1" s="2" t="s">
        <v>159</v>
      </c>
      <c r="D1" s="2" t="s">
        <v>159</v>
      </c>
      <c r="E1" s="2" t="s">
        <v>159</v>
      </c>
      <c r="F1" s="2" t="s">
        <v>159</v>
      </c>
      <c r="G1" s="2" t="s">
        <v>159</v>
      </c>
      <c r="H1" s="2" t="s">
        <v>160</v>
      </c>
      <c r="I1" s="2" t="s">
        <v>160</v>
      </c>
      <c r="J1" s="2" t="s">
        <v>160</v>
      </c>
      <c r="K1" s="2" t="s">
        <v>160</v>
      </c>
      <c r="L1" s="2" t="s">
        <v>160</v>
      </c>
      <c r="M1" s="2" t="s">
        <v>161</v>
      </c>
      <c r="N1" s="2" t="s">
        <v>161</v>
      </c>
      <c r="O1" s="2" t="s">
        <v>161</v>
      </c>
      <c r="P1" s="2" t="s">
        <v>161</v>
      </c>
      <c r="Q1" s="2" t="s">
        <v>161</v>
      </c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5"/>
      <c r="AJ1" s="5"/>
      <c r="AK1" s="5"/>
    </row>
    <row r="2" spans="1:37" x14ac:dyDescent="0.35">
      <c r="B2" s="2"/>
      <c r="C2" s="2" t="s">
        <v>166</v>
      </c>
      <c r="D2" s="2" t="s">
        <v>167</v>
      </c>
      <c r="E2" s="2" t="s">
        <v>168</v>
      </c>
      <c r="F2" s="2" t="s">
        <v>169</v>
      </c>
      <c r="G2" s="2" t="s">
        <v>170</v>
      </c>
      <c r="H2" s="2" t="s">
        <v>166</v>
      </c>
      <c r="I2" s="2" t="s">
        <v>167</v>
      </c>
      <c r="J2" s="2" t="s">
        <v>168</v>
      </c>
      <c r="K2" s="2" t="s">
        <v>169</v>
      </c>
      <c r="L2" s="2" t="s">
        <v>170</v>
      </c>
      <c r="M2" s="2" t="s">
        <v>166</v>
      </c>
      <c r="N2" s="2" t="s">
        <v>167</v>
      </c>
      <c r="O2" s="2" t="s">
        <v>168</v>
      </c>
      <c r="P2" s="2" t="s">
        <v>169</v>
      </c>
      <c r="Q2" s="2" t="s">
        <v>170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5"/>
      <c r="AJ2" s="5"/>
      <c r="AK2" s="5"/>
    </row>
    <row r="3" spans="1:37" x14ac:dyDescent="0.35">
      <c r="A3" t="s">
        <v>165</v>
      </c>
      <c r="B3" s="22" t="s">
        <v>164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23"/>
      <c r="S3" s="23"/>
      <c r="T3" s="23"/>
      <c r="U3" s="23"/>
      <c r="V3" s="23"/>
      <c r="W3" s="24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5"/>
      <c r="AJ3" s="5"/>
      <c r="AK3" s="5"/>
    </row>
    <row r="4" spans="1:37" x14ac:dyDescent="0.35">
      <c r="A4" s="29" t="s">
        <v>171</v>
      </c>
      <c r="B4" s="27" t="s">
        <v>0</v>
      </c>
      <c r="C4" s="23">
        <v>7912</v>
      </c>
      <c r="D4" s="23">
        <v>8832</v>
      </c>
      <c r="E4" s="23">
        <v>68129</v>
      </c>
      <c r="F4" s="23">
        <v>17740</v>
      </c>
      <c r="G4" s="23">
        <v>13185</v>
      </c>
      <c r="H4" s="22">
        <v>13623</v>
      </c>
      <c r="I4" s="22">
        <v>34777</v>
      </c>
      <c r="J4" s="22">
        <v>14713</v>
      </c>
      <c r="K4" s="22">
        <v>98684</v>
      </c>
      <c r="L4" s="22">
        <v>6039</v>
      </c>
      <c r="M4" s="22">
        <v>623</v>
      </c>
      <c r="N4" s="22">
        <v>1585</v>
      </c>
      <c r="O4" s="22">
        <v>628</v>
      </c>
      <c r="P4" s="22">
        <v>7134</v>
      </c>
      <c r="Q4" s="5">
        <v>0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4"/>
      <c r="AI4" s="5"/>
      <c r="AJ4" s="5"/>
      <c r="AK4" s="5"/>
    </row>
    <row r="5" spans="1:37" x14ac:dyDescent="0.35">
      <c r="A5" s="29" t="s">
        <v>171</v>
      </c>
      <c r="B5" s="27" t="s">
        <v>1</v>
      </c>
      <c r="C5" s="23">
        <v>1840</v>
      </c>
      <c r="D5" s="23">
        <v>920</v>
      </c>
      <c r="E5" s="23">
        <v>3048</v>
      </c>
      <c r="F5" s="23">
        <v>1321</v>
      </c>
      <c r="G5" s="23">
        <v>2102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5"/>
      <c r="AJ5" s="5"/>
      <c r="AK5" s="5"/>
    </row>
    <row r="6" spans="1:37" x14ac:dyDescent="0.35">
      <c r="A6" s="29" t="s">
        <v>171</v>
      </c>
      <c r="B6" s="27" t="s">
        <v>2</v>
      </c>
      <c r="C6" s="23">
        <v>736</v>
      </c>
      <c r="D6" s="24">
        <v>0</v>
      </c>
      <c r="E6" s="23">
        <v>179</v>
      </c>
      <c r="F6" s="24">
        <v>0</v>
      </c>
      <c r="G6" s="23">
        <v>1529</v>
      </c>
      <c r="H6" s="22">
        <v>545</v>
      </c>
      <c r="I6" s="5">
        <v>0</v>
      </c>
      <c r="J6" s="5">
        <v>0</v>
      </c>
      <c r="K6" s="22">
        <v>2154</v>
      </c>
      <c r="L6" s="22">
        <v>755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5"/>
      <c r="AJ6" s="5"/>
      <c r="AK6" s="5"/>
    </row>
    <row r="7" spans="1:37" x14ac:dyDescent="0.35">
      <c r="A7" s="29" t="s">
        <v>171</v>
      </c>
      <c r="B7" s="27" t="s">
        <v>3</v>
      </c>
      <c r="C7" s="23">
        <f>1104 + 184</f>
        <v>1288</v>
      </c>
      <c r="D7" s="23">
        <v>552</v>
      </c>
      <c r="E7" s="23">
        <v>1434</v>
      </c>
      <c r="F7" s="23">
        <v>377</v>
      </c>
      <c r="G7" s="23">
        <v>1720</v>
      </c>
      <c r="H7" s="22">
        <v>1635</v>
      </c>
      <c r="I7" s="22">
        <v>2101</v>
      </c>
      <c r="J7" s="22">
        <v>1529</v>
      </c>
      <c r="K7" s="22">
        <v>6853</v>
      </c>
      <c r="L7" s="22">
        <v>944</v>
      </c>
      <c r="M7" s="5">
        <v>0</v>
      </c>
      <c r="N7" s="5">
        <v>0</v>
      </c>
      <c r="O7" s="5">
        <v>0</v>
      </c>
      <c r="P7" s="5">
        <v>0</v>
      </c>
      <c r="Q7" s="22">
        <v>177</v>
      </c>
      <c r="R7" s="22"/>
      <c r="S7" s="22"/>
      <c r="T7" s="22"/>
      <c r="U7" s="5"/>
      <c r="V7" s="22"/>
      <c r="W7" s="5"/>
      <c r="X7" s="5"/>
      <c r="Y7" s="22"/>
      <c r="Z7" s="5"/>
      <c r="AA7" s="5"/>
      <c r="AB7" s="5"/>
      <c r="AC7" s="5"/>
      <c r="AD7" s="5"/>
      <c r="AE7" s="5"/>
      <c r="AF7" s="5"/>
      <c r="AG7" s="5"/>
      <c r="AH7" s="22"/>
      <c r="AI7" s="5"/>
      <c r="AJ7" s="5"/>
      <c r="AK7" s="5"/>
    </row>
    <row r="8" spans="1:37" x14ac:dyDescent="0.35">
      <c r="A8" s="29" t="s">
        <v>171</v>
      </c>
      <c r="B8" s="30" t="s">
        <v>4</v>
      </c>
      <c r="C8" s="23">
        <v>0</v>
      </c>
      <c r="D8" s="23">
        <v>1472</v>
      </c>
      <c r="E8" s="23">
        <v>8606</v>
      </c>
      <c r="F8" s="23">
        <v>1510</v>
      </c>
      <c r="G8" s="23">
        <v>382</v>
      </c>
      <c r="H8" s="22">
        <v>1272</v>
      </c>
      <c r="I8" s="22">
        <v>4395</v>
      </c>
      <c r="J8" s="22">
        <v>4586</v>
      </c>
      <c r="K8" s="22">
        <v>19384</v>
      </c>
      <c r="L8" s="22">
        <v>3208</v>
      </c>
      <c r="M8" s="5">
        <v>0</v>
      </c>
      <c r="N8" s="5">
        <v>0</v>
      </c>
      <c r="O8" s="5">
        <v>0</v>
      </c>
      <c r="P8" s="22">
        <v>198</v>
      </c>
      <c r="Q8" s="5">
        <v>0</v>
      </c>
      <c r="R8" s="5"/>
      <c r="S8" s="22"/>
      <c r="T8" s="22"/>
      <c r="U8" s="5"/>
      <c r="V8" s="22"/>
      <c r="W8" s="5"/>
      <c r="X8" s="5"/>
      <c r="Y8" s="5"/>
      <c r="Z8" s="5"/>
      <c r="AA8" s="5"/>
      <c r="AB8" s="5"/>
      <c r="AC8" s="5"/>
      <c r="AD8" s="5"/>
      <c r="AE8" s="5"/>
      <c r="AF8" s="5"/>
      <c r="AG8" s="22"/>
      <c r="AH8" s="5"/>
      <c r="AI8" s="5"/>
      <c r="AJ8" s="5"/>
      <c r="AK8" s="5"/>
    </row>
    <row r="9" spans="1:37" x14ac:dyDescent="0.35">
      <c r="A9" s="29" t="s">
        <v>171</v>
      </c>
      <c r="B9" s="30" t="s">
        <v>5</v>
      </c>
      <c r="C9" s="23">
        <v>0</v>
      </c>
      <c r="D9" s="23">
        <v>1104</v>
      </c>
      <c r="E9" s="23">
        <v>717</v>
      </c>
      <c r="F9" s="23">
        <v>377</v>
      </c>
      <c r="G9" s="23">
        <v>1338</v>
      </c>
      <c r="H9" s="22">
        <v>545</v>
      </c>
      <c r="I9" s="22">
        <v>1146</v>
      </c>
      <c r="J9" s="22">
        <v>1146</v>
      </c>
      <c r="K9" s="22">
        <v>5091</v>
      </c>
      <c r="L9" s="22">
        <v>755</v>
      </c>
      <c r="M9" s="22">
        <v>78</v>
      </c>
      <c r="N9" s="5">
        <v>0</v>
      </c>
      <c r="O9" s="5">
        <v>0</v>
      </c>
      <c r="P9" s="5">
        <v>0</v>
      </c>
      <c r="Q9" s="22">
        <v>177</v>
      </c>
      <c r="R9" s="5"/>
      <c r="S9" s="22"/>
      <c r="T9" s="22"/>
      <c r="U9" s="22"/>
      <c r="V9" s="22"/>
      <c r="W9" s="5"/>
      <c r="X9" s="22"/>
      <c r="Y9" s="22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35">
      <c r="A10" s="29" t="s">
        <v>171</v>
      </c>
      <c r="B10" s="30" t="s">
        <v>6</v>
      </c>
      <c r="C10" s="23">
        <v>0</v>
      </c>
      <c r="D10" s="23">
        <v>0</v>
      </c>
      <c r="E10" s="23">
        <v>179</v>
      </c>
      <c r="F10" s="23">
        <v>189</v>
      </c>
      <c r="G10" s="23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22"/>
      <c r="S10" s="22"/>
      <c r="T10" s="22"/>
      <c r="U10" s="22"/>
      <c r="V10" s="22"/>
      <c r="W10" s="5"/>
      <c r="X10" s="22"/>
      <c r="Y10" s="22"/>
      <c r="Z10" s="5"/>
      <c r="AA10" s="5"/>
      <c r="AB10" s="5"/>
      <c r="AC10" s="5"/>
      <c r="AD10" s="5"/>
      <c r="AE10" s="22"/>
      <c r="AF10" s="5"/>
      <c r="AG10" s="22"/>
      <c r="AH10" s="22"/>
      <c r="AI10" s="22"/>
      <c r="AJ10" s="22"/>
      <c r="AK10" s="5"/>
    </row>
    <row r="11" spans="1:37" x14ac:dyDescent="0.35">
      <c r="A11" s="29" t="s">
        <v>171</v>
      </c>
      <c r="B11" s="30" t="s">
        <v>7</v>
      </c>
      <c r="C11" s="23">
        <v>0</v>
      </c>
      <c r="D11" s="23">
        <v>0</v>
      </c>
      <c r="E11" s="23">
        <v>1076</v>
      </c>
      <c r="F11" s="23">
        <v>755</v>
      </c>
      <c r="G11" s="23">
        <v>0</v>
      </c>
      <c r="H11" s="22">
        <v>908</v>
      </c>
      <c r="I11" s="5">
        <v>0</v>
      </c>
      <c r="J11" s="5">
        <v>0</v>
      </c>
      <c r="K11" s="22">
        <v>783</v>
      </c>
      <c r="L11" s="22">
        <v>1132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22"/>
      <c r="S11" s="22"/>
      <c r="T11" s="22"/>
      <c r="U11" s="5"/>
      <c r="V11" s="22"/>
      <c r="W11" s="5"/>
      <c r="X11" s="5"/>
      <c r="Y11" s="22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35">
      <c r="A12" s="29" t="s">
        <v>171</v>
      </c>
      <c r="B12" s="30" t="s">
        <v>8</v>
      </c>
      <c r="C12" s="23">
        <v>0</v>
      </c>
      <c r="D12" s="23">
        <v>0</v>
      </c>
      <c r="E12" s="23">
        <v>179</v>
      </c>
      <c r="F12" s="23">
        <v>0</v>
      </c>
      <c r="G12" s="23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22">
        <v>198</v>
      </c>
      <c r="Q12" s="5">
        <v>0</v>
      </c>
      <c r="R12" s="5"/>
      <c r="S12" s="5"/>
      <c r="T12" s="5"/>
      <c r="U12" s="5"/>
      <c r="V12" s="5"/>
      <c r="W12" s="5"/>
      <c r="X12" s="22"/>
      <c r="Y12" s="22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22"/>
    </row>
    <row r="13" spans="1:37" x14ac:dyDescent="0.35">
      <c r="A13" s="31" t="s">
        <v>173</v>
      </c>
      <c r="B13" s="32" t="s">
        <v>9</v>
      </c>
      <c r="C13" s="23">
        <v>552</v>
      </c>
      <c r="D13" s="23">
        <v>1104</v>
      </c>
      <c r="E13" s="23">
        <v>717</v>
      </c>
      <c r="F13" s="23">
        <v>189</v>
      </c>
      <c r="G13" s="23">
        <v>191</v>
      </c>
      <c r="H13" s="22">
        <v>908</v>
      </c>
      <c r="I13" s="22">
        <v>955</v>
      </c>
      <c r="J13" s="22">
        <v>1529</v>
      </c>
      <c r="K13" s="22">
        <v>3329</v>
      </c>
      <c r="L13" s="22">
        <v>377</v>
      </c>
      <c r="M13" s="22">
        <v>389</v>
      </c>
      <c r="N13" s="22">
        <v>226</v>
      </c>
      <c r="O13" s="22">
        <v>1524</v>
      </c>
      <c r="P13" s="22">
        <v>793</v>
      </c>
      <c r="Q13" s="5">
        <v>0</v>
      </c>
      <c r="R13" s="5"/>
      <c r="S13" s="22"/>
      <c r="T13" s="5"/>
      <c r="U13" s="5"/>
      <c r="V13" s="5"/>
      <c r="W13" s="5"/>
      <c r="X13" s="22"/>
      <c r="Y13" s="22"/>
      <c r="Z13" s="5"/>
      <c r="AA13" s="5"/>
      <c r="AB13" s="5"/>
      <c r="AC13" s="5"/>
      <c r="AD13" s="5"/>
      <c r="AE13" s="5"/>
      <c r="AF13" s="5"/>
      <c r="AG13" s="5"/>
      <c r="AH13" s="22"/>
      <c r="AI13" s="5"/>
      <c r="AJ13" s="5"/>
      <c r="AK13" s="5"/>
    </row>
    <row r="14" spans="1:37" x14ac:dyDescent="0.35">
      <c r="A14" s="29" t="s">
        <v>171</v>
      </c>
      <c r="B14" s="30" t="s">
        <v>10</v>
      </c>
      <c r="C14" s="23">
        <v>4968</v>
      </c>
      <c r="D14" s="24">
        <v>0</v>
      </c>
      <c r="E14" s="23">
        <v>3586</v>
      </c>
      <c r="F14" s="23">
        <v>0</v>
      </c>
      <c r="G14" s="24">
        <v>0</v>
      </c>
      <c r="H14" s="22">
        <v>1816</v>
      </c>
      <c r="I14" s="22">
        <v>3439</v>
      </c>
      <c r="J14" s="22">
        <v>2866</v>
      </c>
      <c r="K14" s="22">
        <v>12727</v>
      </c>
      <c r="L14" s="22">
        <v>566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/>
      <c r="S14" s="5"/>
      <c r="T14" s="5"/>
      <c r="U14" s="5"/>
      <c r="V14" s="5"/>
      <c r="W14" s="5"/>
      <c r="X14" s="22"/>
      <c r="Y14" s="22"/>
      <c r="Z14" s="5"/>
      <c r="AA14" s="22"/>
      <c r="AB14" s="5"/>
      <c r="AC14" s="5"/>
      <c r="AD14" s="5"/>
      <c r="AE14" s="5"/>
      <c r="AF14" s="5"/>
      <c r="AG14" s="5"/>
      <c r="AH14" s="5"/>
      <c r="AI14" s="5"/>
      <c r="AJ14" s="22"/>
      <c r="AK14" s="5"/>
    </row>
    <row r="15" spans="1:37" x14ac:dyDescent="0.35">
      <c r="A15" s="29" t="s">
        <v>171</v>
      </c>
      <c r="B15" s="30" t="s">
        <v>11</v>
      </c>
      <c r="C15" s="23">
        <v>1472</v>
      </c>
      <c r="D15" s="23">
        <v>1656</v>
      </c>
      <c r="E15" s="23">
        <v>1255</v>
      </c>
      <c r="F15" s="23">
        <v>189</v>
      </c>
      <c r="G15" s="23">
        <v>0</v>
      </c>
      <c r="H15" s="5">
        <v>0</v>
      </c>
      <c r="I15" s="5">
        <v>0</v>
      </c>
      <c r="J15" s="22">
        <v>573</v>
      </c>
      <c r="K15" s="22">
        <v>587</v>
      </c>
      <c r="L15" s="5">
        <v>0</v>
      </c>
      <c r="M15" s="22">
        <v>389</v>
      </c>
      <c r="N15" s="22">
        <v>1359</v>
      </c>
      <c r="O15" s="5">
        <v>0</v>
      </c>
      <c r="P15" s="22">
        <v>198</v>
      </c>
      <c r="Q15" s="5">
        <v>0</v>
      </c>
      <c r="R15" s="22"/>
      <c r="S15" s="5"/>
      <c r="T15" s="5"/>
      <c r="U15" s="5"/>
      <c r="V15" s="5"/>
      <c r="W15" s="5"/>
      <c r="X15" s="22"/>
      <c r="Y15" s="22"/>
      <c r="Z15" s="5"/>
      <c r="AA15" s="5"/>
      <c r="AB15" s="5"/>
      <c r="AC15" s="5"/>
      <c r="AD15" s="5"/>
      <c r="AE15" s="5"/>
      <c r="AF15" s="5"/>
      <c r="AG15" s="5"/>
      <c r="AH15" s="5"/>
      <c r="AI15" s="22"/>
      <c r="AJ15" s="22"/>
      <c r="AK15" s="5"/>
    </row>
    <row r="16" spans="1:37" x14ac:dyDescent="0.35">
      <c r="A16" s="29" t="s">
        <v>171</v>
      </c>
      <c r="B16" s="30" t="s">
        <v>12</v>
      </c>
      <c r="C16" s="23">
        <v>0</v>
      </c>
      <c r="D16" s="23">
        <v>552</v>
      </c>
      <c r="E16" s="23">
        <v>359</v>
      </c>
      <c r="F16" s="23">
        <v>0</v>
      </c>
      <c r="G16" s="23">
        <v>1146</v>
      </c>
      <c r="H16" s="5">
        <v>0</v>
      </c>
      <c r="I16" s="22">
        <v>191</v>
      </c>
      <c r="J16" s="5">
        <v>0</v>
      </c>
      <c r="K16" s="5">
        <v>0</v>
      </c>
      <c r="L16" s="5">
        <v>0</v>
      </c>
      <c r="M16" s="22">
        <v>78</v>
      </c>
      <c r="N16" s="22">
        <v>453</v>
      </c>
      <c r="O16" s="5">
        <v>0</v>
      </c>
      <c r="P16" s="22">
        <v>198</v>
      </c>
      <c r="Q16" s="5">
        <v>0</v>
      </c>
      <c r="R16" s="22"/>
      <c r="S16" s="5"/>
      <c r="T16" s="5"/>
      <c r="U16" s="5"/>
      <c r="V16" s="5"/>
      <c r="W16" s="5"/>
      <c r="X16" s="5"/>
      <c r="Y16" s="5"/>
      <c r="Z16" s="5"/>
      <c r="AA16" s="22"/>
      <c r="AB16" s="5"/>
      <c r="AC16" s="5"/>
      <c r="AD16" s="5"/>
      <c r="AE16" s="22"/>
      <c r="AF16" s="5"/>
      <c r="AG16" s="5"/>
      <c r="AH16" s="5"/>
      <c r="AI16" s="5"/>
      <c r="AJ16" s="5"/>
      <c r="AK16" s="5"/>
    </row>
    <row r="17" spans="1:17" x14ac:dyDescent="0.35">
      <c r="A17" s="33" t="s">
        <v>172</v>
      </c>
      <c r="B17" s="34" t="s">
        <v>13</v>
      </c>
      <c r="C17" s="23">
        <v>0</v>
      </c>
      <c r="D17" s="23">
        <v>0</v>
      </c>
      <c r="E17" s="23">
        <v>1076</v>
      </c>
      <c r="F17" s="23">
        <v>0</v>
      </c>
      <c r="G17" s="23">
        <v>0</v>
      </c>
      <c r="H17" s="22">
        <v>182</v>
      </c>
      <c r="I17" s="5">
        <v>0</v>
      </c>
      <c r="J17" s="5">
        <v>0</v>
      </c>
      <c r="K17" s="22">
        <v>2350</v>
      </c>
      <c r="L17" s="22">
        <v>755</v>
      </c>
      <c r="M17" s="5">
        <v>0</v>
      </c>
      <c r="N17" s="5">
        <v>0</v>
      </c>
      <c r="O17" s="5">
        <v>0</v>
      </c>
      <c r="P17" s="22">
        <v>396</v>
      </c>
      <c r="Q17" s="22">
        <v>177</v>
      </c>
    </row>
    <row r="18" spans="1:17" x14ac:dyDescent="0.35">
      <c r="A18" s="29" t="s">
        <v>171</v>
      </c>
      <c r="B18" s="30" t="s">
        <v>14</v>
      </c>
      <c r="C18" s="23">
        <v>1840</v>
      </c>
      <c r="D18" s="23">
        <v>1104</v>
      </c>
      <c r="E18" s="23">
        <v>1972</v>
      </c>
      <c r="F18" s="23">
        <v>377</v>
      </c>
      <c r="G18" s="23">
        <v>955</v>
      </c>
      <c r="H18" s="22">
        <v>3088</v>
      </c>
      <c r="I18" s="22">
        <v>2293</v>
      </c>
      <c r="J18" s="22">
        <v>1529</v>
      </c>
      <c r="K18" s="22">
        <v>4503</v>
      </c>
      <c r="L18" s="22">
        <v>2076</v>
      </c>
      <c r="M18" s="5">
        <v>0</v>
      </c>
      <c r="N18" s="22">
        <v>226</v>
      </c>
      <c r="O18" s="5">
        <v>0</v>
      </c>
      <c r="P18" s="5">
        <v>0</v>
      </c>
      <c r="Q18" s="5">
        <v>0</v>
      </c>
    </row>
    <row r="19" spans="1:17" x14ac:dyDescent="0.35">
      <c r="A19" s="29" t="s">
        <v>171</v>
      </c>
      <c r="B19" s="30" t="s">
        <v>15</v>
      </c>
      <c r="C19" s="23">
        <v>1104</v>
      </c>
      <c r="D19" s="23">
        <v>1472</v>
      </c>
      <c r="E19" s="23">
        <v>717</v>
      </c>
      <c r="F19" s="23">
        <v>944</v>
      </c>
      <c r="G19" s="23">
        <v>382</v>
      </c>
      <c r="H19" s="22">
        <v>908</v>
      </c>
      <c r="I19" s="22">
        <v>1529</v>
      </c>
      <c r="J19" s="22">
        <v>764</v>
      </c>
      <c r="K19" s="22">
        <v>1175</v>
      </c>
      <c r="L19" s="22">
        <v>189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x14ac:dyDescent="0.35">
      <c r="A20" s="29" t="s">
        <v>171</v>
      </c>
      <c r="B20" s="30" t="s">
        <v>16</v>
      </c>
      <c r="C20" s="23">
        <v>0</v>
      </c>
      <c r="D20" s="23">
        <v>0</v>
      </c>
      <c r="E20" s="23">
        <v>3944</v>
      </c>
      <c r="F20" s="23">
        <v>1321</v>
      </c>
      <c r="G20" s="23">
        <v>1338</v>
      </c>
      <c r="H20" s="5">
        <v>0</v>
      </c>
      <c r="I20" s="5">
        <v>0</v>
      </c>
      <c r="J20" s="22">
        <v>382</v>
      </c>
      <c r="K20" s="22">
        <v>1958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x14ac:dyDescent="0.35">
      <c r="A21" s="29" t="s">
        <v>171</v>
      </c>
      <c r="B21" s="30" t="s">
        <v>17</v>
      </c>
      <c r="C21" s="23">
        <v>1288</v>
      </c>
      <c r="D21" s="23">
        <v>0</v>
      </c>
      <c r="E21" s="23">
        <v>717</v>
      </c>
      <c r="F21" s="23">
        <v>377</v>
      </c>
      <c r="G21" s="23">
        <v>382</v>
      </c>
      <c r="H21" s="22">
        <v>363</v>
      </c>
      <c r="I21" s="22">
        <v>191</v>
      </c>
      <c r="J21" s="22">
        <v>764</v>
      </c>
      <c r="K21" s="22">
        <v>1175</v>
      </c>
      <c r="L21" s="22">
        <v>189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</row>
    <row r="22" spans="1:17" x14ac:dyDescent="0.35">
      <c r="A22" s="31" t="s">
        <v>173</v>
      </c>
      <c r="B22" s="32" t="s">
        <v>18</v>
      </c>
      <c r="C22" s="23">
        <v>368</v>
      </c>
      <c r="D22" s="24">
        <v>0</v>
      </c>
      <c r="E22" s="23">
        <v>359</v>
      </c>
      <c r="F22" s="23">
        <v>189</v>
      </c>
      <c r="G22" s="23">
        <v>191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x14ac:dyDescent="0.35">
      <c r="A23" s="29" t="s">
        <v>171</v>
      </c>
      <c r="B23" s="30" t="s">
        <v>19</v>
      </c>
      <c r="C23" s="23">
        <f>1656+184</f>
        <v>1840</v>
      </c>
      <c r="D23" s="23">
        <v>920</v>
      </c>
      <c r="E23" s="23">
        <v>0</v>
      </c>
      <c r="F23" s="23">
        <v>0</v>
      </c>
      <c r="G23" s="23">
        <v>0</v>
      </c>
      <c r="H23" s="5">
        <v>0</v>
      </c>
      <c r="I23" s="5">
        <v>0</v>
      </c>
      <c r="J23" s="22">
        <v>382</v>
      </c>
      <c r="K23" s="22">
        <v>979</v>
      </c>
      <c r="L23" s="5">
        <v>0</v>
      </c>
      <c r="M23" s="22">
        <v>1090</v>
      </c>
      <c r="N23" s="22">
        <v>1132</v>
      </c>
      <c r="O23" s="22">
        <v>448</v>
      </c>
      <c r="P23" s="22">
        <v>991</v>
      </c>
      <c r="Q23" s="5">
        <v>0</v>
      </c>
    </row>
    <row r="24" spans="1:17" x14ac:dyDescent="0.35">
      <c r="A24" s="29" t="s">
        <v>171</v>
      </c>
      <c r="B24" s="30" t="s">
        <v>20</v>
      </c>
      <c r="C24" s="23">
        <v>0</v>
      </c>
      <c r="D24" s="23">
        <v>1288</v>
      </c>
      <c r="E24" s="23">
        <v>0</v>
      </c>
      <c r="F24" s="23">
        <v>189</v>
      </c>
      <c r="G24" s="23">
        <v>0</v>
      </c>
      <c r="H24" s="22">
        <v>182</v>
      </c>
      <c r="I24" s="5">
        <v>0</v>
      </c>
      <c r="J24" s="22">
        <v>573</v>
      </c>
      <c r="K24" s="22">
        <v>587</v>
      </c>
      <c r="L24" s="22">
        <v>377</v>
      </c>
      <c r="M24" s="22">
        <v>156</v>
      </c>
      <c r="N24" s="22">
        <v>679</v>
      </c>
      <c r="O24" s="22">
        <v>359</v>
      </c>
      <c r="P24" s="22">
        <v>396</v>
      </c>
      <c r="Q24" s="5">
        <v>0</v>
      </c>
    </row>
    <row r="25" spans="1:17" x14ac:dyDescent="0.35">
      <c r="A25" s="29" t="s">
        <v>171</v>
      </c>
      <c r="B25" s="30" t="s">
        <v>10</v>
      </c>
      <c r="C25" s="23">
        <v>0</v>
      </c>
      <c r="D25" s="23">
        <v>1104</v>
      </c>
      <c r="E25" s="23">
        <v>0</v>
      </c>
      <c r="F25" s="23">
        <v>0</v>
      </c>
      <c r="G25" s="23">
        <v>4395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x14ac:dyDescent="0.35">
      <c r="A26" s="29" t="s">
        <v>171</v>
      </c>
      <c r="B26" s="30" t="s">
        <v>21</v>
      </c>
      <c r="C26" s="23">
        <v>0</v>
      </c>
      <c r="D26" s="23">
        <v>552</v>
      </c>
      <c r="E26" s="23">
        <v>0</v>
      </c>
      <c r="F26" s="23">
        <v>0</v>
      </c>
      <c r="G26" s="23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22">
        <v>90</v>
      </c>
      <c r="P26" s="5">
        <v>0</v>
      </c>
      <c r="Q26" s="22">
        <v>1238</v>
      </c>
    </row>
    <row r="27" spans="1:17" x14ac:dyDescent="0.35">
      <c r="A27" s="29" t="s">
        <v>171</v>
      </c>
      <c r="B27" s="30" t="s">
        <v>22</v>
      </c>
      <c r="C27" s="23">
        <v>0</v>
      </c>
      <c r="D27" s="23">
        <v>368</v>
      </c>
      <c r="E27" s="23">
        <v>0</v>
      </c>
      <c r="F27" s="23">
        <v>0</v>
      </c>
      <c r="G27" s="23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x14ac:dyDescent="0.35">
      <c r="A28" s="29" t="s">
        <v>171</v>
      </c>
      <c r="B28" s="30" t="s">
        <v>23</v>
      </c>
      <c r="C28" s="23">
        <v>0</v>
      </c>
      <c r="D28" s="23">
        <v>4232</v>
      </c>
      <c r="E28" s="23">
        <v>0</v>
      </c>
      <c r="F28" s="23">
        <v>0</v>
      </c>
      <c r="G28" s="23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x14ac:dyDescent="0.35">
      <c r="A29" s="29" t="s">
        <v>171</v>
      </c>
      <c r="B29" s="30" t="s">
        <v>24</v>
      </c>
      <c r="C29" s="23">
        <v>0</v>
      </c>
      <c r="D29" s="23">
        <v>368</v>
      </c>
      <c r="E29" s="23">
        <v>0</v>
      </c>
      <c r="F29" s="23">
        <v>0</v>
      </c>
      <c r="G29" s="23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x14ac:dyDescent="0.35">
      <c r="A30" s="29" t="s">
        <v>171</v>
      </c>
      <c r="B30" s="30" t="s">
        <v>25</v>
      </c>
      <c r="C30" s="23">
        <v>0</v>
      </c>
      <c r="D30" s="23">
        <v>184</v>
      </c>
      <c r="E30" s="23">
        <v>0</v>
      </c>
      <c r="F30" s="23">
        <v>0</v>
      </c>
      <c r="G30" s="23">
        <v>0</v>
      </c>
      <c r="H30" s="5">
        <v>0</v>
      </c>
      <c r="I30" s="5">
        <v>0</v>
      </c>
      <c r="J30" s="5">
        <v>0</v>
      </c>
      <c r="K30" s="22">
        <v>392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22">
        <v>531</v>
      </c>
    </row>
    <row r="31" spans="1:17" x14ac:dyDescent="0.35">
      <c r="A31" s="29" t="s">
        <v>171</v>
      </c>
      <c r="B31" s="30" t="s">
        <v>26</v>
      </c>
      <c r="C31" s="23">
        <v>0</v>
      </c>
      <c r="D31" s="23">
        <v>0</v>
      </c>
      <c r="E31" s="23">
        <v>0</v>
      </c>
      <c r="F31" s="23">
        <v>0</v>
      </c>
      <c r="G31" s="23">
        <v>382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x14ac:dyDescent="0.35">
      <c r="A32" s="29" t="s">
        <v>171</v>
      </c>
      <c r="B32" s="30" t="s">
        <v>27</v>
      </c>
      <c r="C32" s="23">
        <v>0</v>
      </c>
      <c r="D32" s="23">
        <v>0</v>
      </c>
      <c r="E32" s="23">
        <v>0</v>
      </c>
      <c r="F32" s="23">
        <v>944</v>
      </c>
      <c r="G32" s="23">
        <v>0</v>
      </c>
      <c r="H32" s="5">
        <v>0</v>
      </c>
      <c r="I32" s="22">
        <v>1720</v>
      </c>
      <c r="J32" s="5">
        <v>0</v>
      </c>
      <c r="K32" s="22">
        <v>392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x14ac:dyDescent="0.35">
      <c r="A33" s="31" t="s">
        <v>173</v>
      </c>
      <c r="B33" s="32" t="s">
        <v>28</v>
      </c>
      <c r="C33" s="23">
        <v>0</v>
      </c>
      <c r="D33" s="23">
        <v>0</v>
      </c>
      <c r="E33" s="24">
        <v>0</v>
      </c>
      <c r="F33" s="23">
        <v>377</v>
      </c>
      <c r="G33" s="23">
        <v>0</v>
      </c>
      <c r="H33" s="22">
        <v>363</v>
      </c>
      <c r="I33" s="5">
        <v>0</v>
      </c>
      <c r="J33" s="5">
        <v>0</v>
      </c>
      <c r="K33" s="22">
        <v>783</v>
      </c>
      <c r="L33" s="5">
        <v>0</v>
      </c>
      <c r="M33" s="5">
        <v>0</v>
      </c>
      <c r="N33" s="22">
        <v>453</v>
      </c>
      <c r="O33" s="5">
        <v>0</v>
      </c>
      <c r="P33" s="5">
        <v>0</v>
      </c>
      <c r="Q33" s="5">
        <v>0</v>
      </c>
    </row>
    <row r="34" spans="1:17" x14ac:dyDescent="0.35">
      <c r="A34" s="29" t="s">
        <v>171</v>
      </c>
      <c r="B34" s="27" t="s">
        <v>29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22">
        <v>1566</v>
      </c>
      <c r="L34" s="5">
        <v>0</v>
      </c>
      <c r="M34" s="5">
        <v>0</v>
      </c>
      <c r="N34" s="5">
        <v>0</v>
      </c>
      <c r="O34" s="5">
        <v>0</v>
      </c>
      <c r="P34" s="22">
        <v>4756</v>
      </c>
      <c r="Q34" s="5">
        <v>0</v>
      </c>
    </row>
    <row r="35" spans="1:17" x14ac:dyDescent="0.35">
      <c r="A35" s="29" t="s">
        <v>171</v>
      </c>
      <c r="B35" s="27" t="s">
        <v>30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22">
        <v>1566</v>
      </c>
      <c r="L35" s="5">
        <v>0</v>
      </c>
      <c r="M35" s="5">
        <v>0</v>
      </c>
      <c r="N35" s="5">
        <v>0</v>
      </c>
      <c r="O35" s="22">
        <v>179</v>
      </c>
      <c r="P35" s="22">
        <v>991</v>
      </c>
      <c r="Q35" s="5">
        <v>0</v>
      </c>
    </row>
    <row r="36" spans="1:17" x14ac:dyDescent="0.35">
      <c r="A36" s="33" t="s">
        <v>172</v>
      </c>
      <c r="B36" s="35" t="s">
        <v>31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22">
        <v>78</v>
      </c>
      <c r="N36" s="5">
        <v>0</v>
      </c>
      <c r="O36" s="5">
        <v>0</v>
      </c>
      <c r="P36" s="5">
        <v>0</v>
      </c>
      <c r="Q36" s="5">
        <v>0</v>
      </c>
    </row>
    <row r="37" spans="1:17" x14ac:dyDescent="0.35">
      <c r="A37" s="36" t="s">
        <v>174</v>
      </c>
      <c r="B37" s="36"/>
      <c r="C37" s="25">
        <f t="shared" ref="C37:O37" si="0">SUM(C4:C36)</f>
        <v>25208</v>
      </c>
      <c r="D37" s="25">
        <f t="shared" si="0"/>
        <v>27784</v>
      </c>
      <c r="E37" s="25">
        <f t="shared" si="0"/>
        <v>98249</v>
      </c>
      <c r="F37" s="25">
        <f t="shared" si="0"/>
        <v>27365</v>
      </c>
      <c r="G37" s="25">
        <f t="shared" si="0"/>
        <v>29618</v>
      </c>
      <c r="H37" s="25">
        <f t="shared" si="0"/>
        <v>26338</v>
      </c>
      <c r="I37" s="25">
        <f t="shared" si="0"/>
        <v>52737</v>
      </c>
      <c r="J37" s="25">
        <f t="shared" si="0"/>
        <v>31336</v>
      </c>
      <c r="K37" s="25">
        <f t="shared" si="0"/>
        <v>167018</v>
      </c>
      <c r="L37" s="25">
        <f t="shared" si="0"/>
        <v>17362</v>
      </c>
      <c r="M37" s="25">
        <f t="shared" si="0"/>
        <v>2881</v>
      </c>
      <c r="N37" s="25">
        <f t="shared" si="0"/>
        <v>6113</v>
      </c>
      <c r="O37" s="25">
        <f t="shared" si="0"/>
        <v>3228</v>
      </c>
      <c r="P37" s="25">
        <f>SUM(P4:P36)</f>
        <v>16249</v>
      </c>
      <c r="Q37" s="25">
        <f>SUM(Q4:Q36)</f>
        <v>2300</v>
      </c>
    </row>
    <row r="39" spans="1:17" x14ac:dyDescent="0.35">
      <c r="A39" s="37" t="s">
        <v>175</v>
      </c>
      <c r="B39" s="37"/>
    </row>
    <row r="40" spans="1:17" x14ac:dyDescent="0.35">
      <c r="A40" s="37" t="s">
        <v>176</v>
      </c>
      <c r="B40" s="37"/>
    </row>
    <row r="41" spans="1:17" x14ac:dyDescent="0.35">
      <c r="A41" s="37" t="s">
        <v>177</v>
      </c>
      <c r="B41" s="37"/>
    </row>
  </sheetData>
  <mergeCells count="4">
    <mergeCell ref="A37:B37"/>
    <mergeCell ref="A39:B39"/>
    <mergeCell ref="A40:B40"/>
    <mergeCell ref="A41:B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EF02-2701-FD43-8C70-592D583D3DD9}">
  <dimension ref="A1:AU22"/>
  <sheetViews>
    <sheetView workbookViewId="0">
      <selection activeCell="B20" sqref="B20"/>
    </sheetView>
  </sheetViews>
  <sheetFormatPr defaultColWidth="10.6640625" defaultRowHeight="15.5" x14ac:dyDescent="0.35"/>
  <cols>
    <col min="2" max="2" width="14.6640625" customWidth="1"/>
  </cols>
  <sheetData>
    <row r="1" spans="1:47" ht="31" x14ac:dyDescent="0.35">
      <c r="A1" s="5"/>
      <c r="B1" s="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10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7" t="s">
        <v>29</v>
      </c>
      <c r="AG1" s="7" t="s">
        <v>30</v>
      </c>
      <c r="AH1" s="7" t="s">
        <v>31</v>
      </c>
      <c r="AI1" s="11" t="s">
        <v>47</v>
      </c>
      <c r="AJ1" s="11" t="s">
        <v>48</v>
      </c>
      <c r="AK1" s="12" t="s">
        <v>49</v>
      </c>
      <c r="AL1" s="12" t="s">
        <v>50</v>
      </c>
      <c r="AM1" s="12" t="s">
        <v>51</v>
      </c>
      <c r="AN1" s="12" t="s">
        <v>52</v>
      </c>
      <c r="AO1" s="12" t="s">
        <v>53</v>
      </c>
      <c r="AP1" s="12" t="s">
        <v>54</v>
      </c>
      <c r="AQ1" s="12" t="s">
        <v>55</v>
      </c>
      <c r="AR1" s="12" t="s">
        <v>56</v>
      </c>
      <c r="AS1" s="12" t="s">
        <v>57</v>
      </c>
      <c r="AT1" s="12" t="s">
        <v>58</v>
      </c>
      <c r="AU1" s="12" t="s">
        <v>59</v>
      </c>
    </row>
    <row r="2" spans="1:47" x14ac:dyDescent="0.35">
      <c r="A2" s="5" t="s">
        <v>32</v>
      </c>
      <c r="B2" s="9">
        <v>7912</v>
      </c>
      <c r="C2" s="9">
        <v>1840</v>
      </c>
      <c r="D2" s="9">
        <v>736</v>
      </c>
      <c r="E2" s="9">
        <f>1104 + 184</f>
        <v>1288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552</v>
      </c>
      <c r="L2" s="9">
        <v>4968</v>
      </c>
      <c r="M2" s="9">
        <v>1472</v>
      </c>
      <c r="N2" s="9">
        <v>0</v>
      </c>
      <c r="O2" s="9">
        <v>0</v>
      </c>
      <c r="P2" s="9">
        <v>1840</v>
      </c>
      <c r="Q2" s="9">
        <v>1104</v>
      </c>
      <c r="R2" s="9">
        <v>0</v>
      </c>
      <c r="S2" s="9">
        <v>1288</v>
      </c>
      <c r="T2" s="9">
        <v>368</v>
      </c>
      <c r="U2" s="9">
        <f>1656+184</f>
        <v>1840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18">
        <v>0</v>
      </c>
      <c r="AG2" s="18">
        <v>0</v>
      </c>
      <c r="AH2" s="18">
        <v>0</v>
      </c>
      <c r="AI2" s="13">
        <v>6</v>
      </c>
      <c r="AJ2" s="12">
        <v>1</v>
      </c>
      <c r="AK2" s="13" t="s">
        <v>60</v>
      </c>
      <c r="AL2" s="13" t="s">
        <v>61</v>
      </c>
      <c r="AM2" s="13" t="s">
        <v>62</v>
      </c>
      <c r="AN2" s="12">
        <v>-143</v>
      </c>
      <c r="AO2" s="13" t="s">
        <v>63</v>
      </c>
      <c r="AP2" s="13" t="s">
        <v>64</v>
      </c>
      <c r="AQ2" s="13" t="s">
        <v>65</v>
      </c>
      <c r="AR2" s="13">
        <v>127</v>
      </c>
      <c r="AS2" s="13" t="s">
        <v>66</v>
      </c>
      <c r="AT2" s="13" t="s">
        <v>67</v>
      </c>
      <c r="AU2" s="14">
        <v>27.54</v>
      </c>
    </row>
    <row r="3" spans="1:47" x14ac:dyDescent="0.35">
      <c r="A3" s="5" t="s">
        <v>33</v>
      </c>
      <c r="B3" s="9">
        <v>8832</v>
      </c>
      <c r="C3" s="9">
        <v>920</v>
      </c>
      <c r="D3" s="10">
        <v>0</v>
      </c>
      <c r="E3" s="9">
        <v>552</v>
      </c>
      <c r="F3" s="9">
        <v>1472</v>
      </c>
      <c r="G3" s="9">
        <v>1104</v>
      </c>
      <c r="H3" s="9">
        <v>0</v>
      </c>
      <c r="I3" s="9">
        <v>0</v>
      </c>
      <c r="J3" s="9">
        <v>0</v>
      </c>
      <c r="K3" s="9">
        <v>1104</v>
      </c>
      <c r="L3" s="10">
        <v>0</v>
      </c>
      <c r="M3" s="9">
        <v>1656</v>
      </c>
      <c r="N3" s="9">
        <v>552</v>
      </c>
      <c r="O3" s="9">
        <v>0</v>
      </c>
      <c r="P3" s="9">
        <v>1104</v>
      </c>
      <c r="Q3" s="9">
        <v>1472</v>
      </c>
      <c r="R3" s="9">
        <v>0</v>
      </c>
      <c r="S3" s="9">
        <v>0</v>
      </c>
      <c r="T3" s="10">
        <v>0</v>
      </c>
      <c r="U3" s="9">
        <v>920</v>
      </c>
      <c r="V3" s="9">
        <v>1288</v>
      </c>
      <c r="W3" s="9">
        <v>1104</v>
      </c>
      <c r="X3" s="9">
        <v>552</v>
      </c>
      <c r="Y3" s="9">
        <v>368</v>
      </c>
      <c r="Z3" s="9">
        <v>4232</v>
      </c>
      <c r="AA3" s="9">
        <v>368</v>
      </c>
      <c r="AB3" s="9">
        <v>184</v>
      </c>
      <c r="AC3" s="9">
        <v>0</v>
      </c>
      <c r="AD3" s="9">
        <v>0</v>
      </c>
      <c r="AE3" s="9">
        <v>0</v>
      </c>
      <c r="AF3" s="18">
        <v>0</v>
      </c>
      <c r="AG3" s="18">
        <v>0</v>
      </c>
      <c r="AH3" s="18">
        <v>0</v>
      </c>
      <c r="AI3" s="12" t="s">
        <v>68</v>
      </c>
      <c r="AJ3" s="12">
        <v>1</v>
      </c>
      <c r="AK3" s="13" t="s">
        <v>69</v>
      </c>
      <c r="AL3" s="13" t="s">
        <v>70</v>
      </c>
      <c r="AM3" s="13" t="s">
        <v>71</v>
      </c>
      <c r="AN3" s="12">
        <v>-143</v>
      </c>
      <c r="AO3" s="13" t="s">
        <v>72</v>
      </c>
      <c r="AP3" s="13" t="s">
        <v>73</v>
      </c>
      <c r="AQ3" s="13" t="s">
        <v>74</v>
      </c>
      <c r="AR3" s="13">
        <v>111</v>
      </c>
      <c r="AS3" s="13" t="s">
        <v>75</v>
      </c>
      <c r="AT3" s="13">
        <v>5</v>
      </c>
      <c r="AU3" s="14">
        <v>26.23</v>
      </c>
    </row>
    <row r="4" spans="1:47" x14ac:dyDescent="0.35">
      <c r="A4" s="5" t="s">
        <v>34</v>
      </c>
      <c r="B4" s="9">
        <v>68129</v>
      </c>
      <c r="C4" s="9">
        <v>3048</v>
      </c>
      <c r="D4" s="9">
        <v>179</v>
      </c>
      <c r="E4" s="9">
        <v>1434</v>
      </c>
      <c r="F4" s="9">
        <v>8606</v>
      </c>
      <c r="G4" s="9">
        <v>717</v>
      </c>
      <c r="H4" s="9">
        <v>179</v>
      </c>
      <c r="I4" s="9">
        <v>1076</v>
      </c>
      <c r="J4" s="9">
        <v>179</v>
      </c>
      <c r="K4" s="9">
        <v>717</v>
      </c>
      <c r="L4" s="9">
        <v>3586</v>
      </c>
      <c r="M4" s="9">
        <v>1255</v>
      </c>
      <c r="N4" s="9">
        <v>359</v>
      </c>
      <c r="O4" s="9">
        <v>1076</v>
      </c>
      <c r="P4" s="9">
        <v>1972</v>
      </c>
      <c r="Q4" s="9">
        <v>717</v>
      </c>
      <c r="R4" s="9">
        <v>3944</v>
      </c>
      <c r="S4" s="9">
        <v>717</v>
      </c>
      <c r="T4" s="9">
        <v>359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10">
        <v>0</v>
      </c>
      <c r="AF4" s="18">
        <v>0</v>
      </c>
      <c r="AG4" s="18">
        <v>0</v>
      </c>
      <c r="AH4" s="18">
        <v>0</v>
      </c>
      <c r="AI4" s="12" t="s">
        <v>76</v>
      </c>
      <c r="AJ4" s="12">
        <v>1</v>
      </c>
      <c r="AK4" s="13" t="s">
        <v>77</v>
      </c>
      <c r="AL4" s="13" t="s">
        <v>78</v>
      </c>
      <c r="AM4" s="13" t="s">
        <v>79</v>
      </c>
      <c r="AN4" s="12">
        <v>-140</v>
      </c>
      <c r="AO4" s="13" t="s">
        <v>80</v>
      </c>
      <c r="AP4" s="13" t="s">
        <v>81</v>
      </c>
      <c r="AQ4" s="13">
        <v>180</v>
      </c>
      <c r="AR4" s="13">
        <v>144</v>
      </c>
      <c r="AS4" s="13" t="s">
        <v>82</v>
      </c>
      <c r="AT4" s="13" t="s">
        <v>83</v>
      </c>
      <c r="AU4" s="14">
        <v>38.28</v>
      </c>
    </row>
    <row r="5" spans="1:47" x14ac:dyDescent="0.35">
      <c r="A5" s="5" t="s">
        <v>35</v>
      </c>
      <c r="B5" s="9">
        <v>17740</v>
      </c>
      <c r="C5" s="9">
        <v>1321</v>
      </c>
      <c r="D5" s="10">
        <v>0</v>
      </c>
      <c r="E5" s="9">
        <v>377</v>
      </c>
      <c r="F5" s="9">
        <v>1510</v>
      </c>
      <c r="G5" s="9">
        <v>377</v>
      </c>
      <c r="H5" s="9">
        <v>189</v>
      </c>
      <c r="I5" s="9">
        <v>755</v>
      </c>
      <c r="J5" s="9">
        <v>0</v>
      </c>
      <c r="K5" s="9">
        <v>189</v>
      </c>
      <c r="L5" s="9">
        <v>0</v>
      </c>
      <c r="M5" s="9">
        <v>189</v>
      </c>
      <c r="N5" s="9">
        <v>0</v>
      </c>
      <c r="O5" s="9">
        <v>0</v>
      </c>
      <c r="P5" s="9">
        <v>377</v>
      </c>
      <c r="Q5" s="9">
        <v>944</v>
      </c>
      <c r="R5" s="9">
        <v>1321</v>
      </c>
      <c r="S5" s="9">
        <v>377</v>
      </c>
      <c r="T5" s="9">
        <v>189</v>
      </c>
      <c r="U5" s="9">
        <v>0</v>
      </c>
      <c r="V5" s="9">
        <v>189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944</v>
      </c>
      <c r="AE5" s="9">
        <v>377</v>
      </c>
      <c r="AF5" s="18">
        <v>0</v>
      </c>
      <c r="AG5" s="18">
        <v>0</v>
      </c>
      <c r="AH5" s="18">
        <v>0</v>
      </c>
      <c r="AI5" s="12">
        <v>27</v>
      </c>
      <c r="AJ5" s="12">
        <v>1</v>
      </c>
      <c r="AK5" s="13" t="s">
        <v>84</v>
      </c>
      <c r="AL5" s="13" t="s">
        <v>85</v>
      </c>
      <c r="AM5" s="13" t="s">
        <v>86</v>
      </c>
      <c r="AN5" s="12">
        <v>-143</v>
      </c>
      <c r="AO5" s="13" t="s">
        <v>87</v>
      </c>
      <c r="AP5" s="13" t="s">
        <v>88</v>
      </c>
      <c r="AQ5" s="15" t="s">
        <v>74</v>
      </c>
      <c r="AR5" s="13">
        <v>155</v>
      </c>
      <c r="AS5" s="13" t="s">
        <v>75</v>
      </c>
      <c r="AT5" s="13">
        <v>5</v>
      </c>
      <c r="AU5" s="14">
        <v>37.93</v>
      </c>
    </row>
    <row r="6" spans="1:47" x14ac:dyDescent="0.35">
      <c r="A6" s="5" t="s">
        <v>36</v>
      </c>
      <c r="B6" s="9">
        <v>13185</v>
      </c>
      <c r="C6" s="9">
        <v>2102</v>
      </c>
      <c r="D6" s="9">
        <v>1529</v>
      </c>
      <c r="E6" s="9">
        <v>1720</v>
      </c>
      <c r="F6" s="9">
        <v>382</v>
      </c>
      <c r="G6" s="9">
        <v>1338</v>
      </c>
      <c r="H6" s="9">
        <v>0</v>
      </c>
      <c r="I6" s="9">
        <v>0</v>
      </c>
      <c r="J6" s="9">
        <v>0</v>
      </c>
      <c r="K6" s="9">
        <v>191</v>
      </c>
      <c r="L6" s="10">
        <v>0</v>
      </c>
      <c r="M6" s="9">
        <v>0</v>
      </c>
      <c r="N6" s="9">
        <v>1146</v>
      </c>
      <c r="O6" s="9">
        <v>0</v>
      </c>
      <c r="P6" s="9">
        <v>955</v>
      </c>
      <c r="Q6" s="9">
        <v>382</v>
      </c>
      <c r="R6" s="9">
        <v>1338</v>
      </c>
      <c r="S6" s="9">
        <v>382</v>
      </c>
      <c r="T6" s="9">
        <v>191</v>
      </c>
      <c r="U6" s="9">
        <v>0</v>
      </c>
      <c r="V6" s="9">
        <v>0</v>
      </c>
      <c r="W6" s="9">
        <v>4395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382</v>
      </c>
      <c r="AD6" s="9">
        <v>0</v>
      </c>
      <c r="AE6" s="9">
        <v>0</v>
      </c>
      <c r="AF6" s="18">
        <v>0</v>
      </c>
      <c r="AG6" s="18">
        <v>0</v>
      </c>
      <c r="AH6" s="18">
        <v>0</v>
      </c>
      <c r="AI6" s="12">
        <v>9</v>
      </c>
      <c r="AJ6" s="12">
        <v>1</v>
      </c>
      <c r="AK6" s="13" t="s">
        <v>89</v>
      </c>
      <c r="AL6" s="13" t="s">
        <v>90</v>
      </c>
      <c r="AM6" s="13" t="s">
        <v>91</v>
      </c>
      <c r="AN6" s="12">
        <v>-143</v>
      </c>
      <c r="AO6" s="13" t="s">
        <v>92</v>
      </c>
      <c r="AP6" s="13" t="s">
        <v>93</v>
      </c>
      <c r="AQ6" s="14" t="s">
        <v>94</v>
      </c>
      <c r="AR6" s="13">
        <v>113</v>
      </c>
      <c r="AS6" s="13" t="s">
        <v>95</v>
      </c>
      <c r="AT6" s="13">
        <v>4</v>
      </c>
      <c r="AU6" s="14">
        <v>24.750000000000014</v>
      </c>
    </row>
    <row r="10" spans="1:47" x14ac:dyDescent="0.35">
      <c r="A10" s="5"/>
    </row>
    <row r="17" spans="1:46" x14ac:dyDescent="0.35">
      <c r="B17" s="11" t="s">
        <v>47</v>
      </c>
      <c r="C17" s="12" t="s">
        <v>49</v>
      </c>
      <c r="D17" s="12" t="s">
        <v>50</v>
      </c>
      <c r="E17" s="12" t="s">
        <v>51</v>
      </c>
      <c r="F17" s="12" t="s">
        <v>52</v>
      </c>
      <c r="G17" s="12" t="s">
        <v>53</v>
      </c>
      <c r="H17" s="12" t="s">
        <v>54</v>
      </c>
      <c r="I17" s="12" t="s">
        <v>55</v>
      </c>
      <c r="J17" s="12" t="s">
        <v>56</v>
      </c>
      <c r="K17" s="12" t="s">
        <v>57</v>
      </c>
      <c r="L17" s="12" t="s">
        <v>58</v>
      </c>
      <c r="M17" s="12" t="s">
        <v>59</v>
      </c>
      <c r="N17" s="7" t="s">
        <v>0</v>
      </c>
      <c r="O17" s="7" t="s">
        <v>1</v>
      </c>
      <c r="P17" s="7" t="s">
        <v>2</v>
      </c>
      <c r="Q17" s="7" t="s">
        <v>3</v>
      </c>
      <c r="R17" s="8" t="s">
        <v>4</v>
      </c>
      <c r="S17" s="8" t="s">
        <v>5</v>
      </c>
      <c r="T17" s="8" t="s">
        <v>6</v>
      </c>
      <c r="U17" s="8" t="s">
        <v>7</v>
      </c>
      <c r="V17" s="8" t="s">
        <v>8</v>
      </c>
      <c r="W17" s="8" t="s">
        <v>9</v>
      </c>
      <c r="X17" s="8" t="s">
        <v>10</v>
      </c>
      <c r="Y17" s="8" t="s">
        <v>11</v>
      </c>
      <c r="Z17" s="8" t="s">
        <v>12</v>
      </c>
      <c r="AA17" s="8" t="s">
        <v>13</v>
      </c>
      <c r="AB17" s="8" t="s">
        <v>14</v>
      </c>
      <c r="AC17" s="8" t="s">
        <v>15</v>
      </c>
      <c r="AD17" s="8" t="s">
        <v>16</v>
      </c>
      <c r="AE17" s="8" t="s">
        <v>17</v>
      </c>
      <c r="AF17" s="8" t="s">
        <v>18</v>
      </c>
      <c r="AG17" s="8" t="s">
        <v>19</v>
      </c>
      <c r="AH17" s="8" t="s">
        <v>20</v>
      </c>
      <c r="AI17" s="8" t="s">
        <v>10</v>
      </c>
      <c r="AJ17" s="8" t="s">
        <v>21</v>
      </c>
      <c r="AK17" s="8" t="s">
        <v>22</v>
      </c>
      <c r="AL17" s="8" t="s">
        <v>23</v>
      </c>
      <c r="AM17" s="8" t="s">
        <v>24</v>
      </c>
      <c r="AN17" s="8" t="s">
        <v>25</v>
      </c>
      <c r="AO17" s="8" t="s">
        <v>26</v>
      </c>
      <c r="AP17" s="8" t="s">
        <v>27</v>
      </c>
      <c r="AQ17" s="8" t="s">
        <v>28</v>
      </c>
      <c r="AR17" s="7" t="s">
        <v>29</v>
      </c>
      <c r="AS17" s="7" t="s">
        <v>30</v>
      </c>
      <c r="AT17" s="7" t="s">
        <v>31</v>
      </c>
    </row>
    <row r="18" spans="1:46" x14ac:dyDescent="0.35">
      <c r="A18" s="5" t="s">
        <v>32</v>
      </c>
      <c r="B18" s="13">
        <v>6</v>
      </c>
      <c r="C18" s="13" t="s">
        <v>60</v>
      </c>
      <c r="D18" s="13" t="s">
        <v>61</v>
      </c>
      <c r="E18" s="13" t="s">
        <v>62</v>
      </c>
      <c r="F18" s="12">
        <v>-143</v>
      </c>
      <c r="G18" s="13" t="s">
        <v>63</v>
      </c>
      <c r="H18" s="13" t="s">
        <v>64</v>
      </c>
      <c r="I18" s="13" t="s">
        <v>65</v>
      </c>
      <c r="J18" s="13">
        <v>127</v>
      </c>
      <c r="K18" s="13" t="s">
        <v>66</v>
      </c>
      <c r="L18" s="13" t="s">
        <v>67</v>
      </c>
      <c r="M18" s="14">
        <v>27.54</v>
      </c>
      <c r="N18" s="9">
        <v>7912</v>
      </c>
      <c r="O18" s="9">
        <v>1840</v>
      </c>
      <c r="P18" s="9">
        <v>736</v>
      </c>
      <c r="Q18" s="9">
        <f>1104 + 184</f>
        <v>1288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552</v>
      </c>
      <c r="X18" s="9">
        <v>4968</v>
      </c>
      <c r="Y18" s="9">
        <v>1472</v>
      </c>
      <c r="Z18" s="9">
        <v>0</v>
      </c>
      <c r="AA18" s="9">
        <v>0</v>
      </c>
      <c r="AB18" s="9">
        <v>1840</v>
      </c>
      <c r="AC18" s="9">
        <v>1104</v>
      </c>
      <c r="AD18" s="9">
        <v>0</v>
      </c>
      <c r="AE18" s="9">
        <v>1288</v>
      </c>
      <c r="AF18" s="9">
        <v>368</v>
      </c>
      <c r="AG18" s="9">
        <f>1656+184</f>
        <v>1840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8">
        <v>0</v>
      </c>
      <c r="AS18" s="18">
        <v>0</v>
      </c>
      <c r="AT18" s="18">
        <v>0</v>
      </c>
    </row>
    <row r="19" spans="1:46" x14ac:dyDescent="0.35">
      <c r="A19" s="5" t="s">
        <v>33</v>
      </c>
      <c r="B19" s="12" t="s">
        <v>68</v>
      </c>
      <c r="C19" s="13" t="s">
        <v>69</v>
      </c>
      <c r="D19" s="13" t="s">
        <v>70</v>
      </c>
      <c r="E19" s="13" t="s">
        <v>71</v>
      </c>
      <c r="F19" s="12">
        <v>-143</v>
      </c>
      <c r="G19" s="13" t="s">
        <v>72</v>
      </c>
      <c r="H19" s="13" t="s">
        <v>73</v>
      </c>
      <c r="I19" s="13" t="s">
        <v>74</v>
      </c>
      <c r="J19" s="13">
        <v>111</v>
      </c>
      <c r="K19" s="13" t="s">
        <v>75</v>
      </c>
      <c r="L19" s="13">
        <v>5</v>
      </c>
      <c r="M19" s="14">
        <v>26.23</v>
      </c>
      <c r="N19" s="9">
        <v>8832</v>
      </c>
      <c r="O19" s="9">
        <v>920</v>
      </c>
      <c r="P19" s="10">
        <v>0</v>
      </c>
      <c r="Q19" s="9">
        <v>552</v>
      </c>
      <c r="R19" s="9">
        <v>1472</v>
      </c>
      <c r="S19" s="9">
        <v>1104</v>
      </c>
      <c r="T19" s="9">
        <v>0</v>
      </c>
      <c r="U19" s="9">
        <v>0</v>
      </c>
      <c r="V19" s="9">
        <v>0</v>
      </c>
      <c r="W19" s="9">
        <v>1104</v>
      </c>
      <c r="X19" s="10">
        <v>0</v>
      </c>
      <c r="Y19" s="9">
        <v>1656</v>
      </c>
      <c r="Z19" s="9">
        <v>552</v>
      </c>
      <c r="AA19" s="9">
        <v>0</v>
      </c>
      <c r="AB19" s="9">
        <v>1104</v>
      </c>
      <c r="AC19" s="9">
        <v>1472</v>
      </c>
      <c r="AD19" s="9">
        <v>0</v>
      </c>
      <c r="AE19" s="9">
        <v>0</v>
      </c>
      <c r="AF19" s="10">
        <v>0</v>
      </c>
      <c r="AG19" s="9">
        <v>920</v>
      </c>
      <c r="AH19" s="9">
        <v>1288</v>
      </c>
      <c r="AI19" s="9">
        <v>1104</v>
      </c>
      <c r="AJ19" s="9">
        <v>552</v>
      </c>
      <c r="AK19" s="9">
        <v>368</v>
      </c>
      <c r="AL19" s="9">
        <v>4232</v>
      </c>
      <c r="AM19" s="9">
        <v>368</v>
      </c>
      <c r="AN19" s="9">
        <v>184</v>
      </c>
      <c r="AO19" s="9">
        <v>0</v>
      </c>
      <c r="AP19" s="9">
        <v>0</v>
      </c>
      <c r="AQ19" s="9">
        <v>0</v>
      </c>
      <c r="AR19" s="18">
        <v>0</v>
      </c>
      <c r="AS19" s="18">
        <v>0</v>
      </c>
      <c r="AT19" s="18">
        <v>0</v>
      </c>
    </row>
    <row r="20" spans="1:46" x14ac:dyDescent="0.35">
      <c r="A20" s="5" t="s">
        <v>34</v>
      </c>
      <c r="B20" s="12" t="s">
        <v>76</v>
      </c>
      <c r="C20" s="13" t="s">
        <v>77</v>
      </c>
      <c r="D20" s="13" t="s">
        <v>78</v>
      </c>
      <c r="E20" s="13" t="s">
        <v>79</v>
      </c>
      <c r="F20" s="12">
        <v>-140</v>
      </c>
      <c r="G20" s="13" t="s">
        <v>80</v>
      </c>
      <c r="H20" s="13" t="s">
        <v>81</v>
      </c>
      <c r="I20" s="13">
        <v>180</v>
      </c>
      <c r="J20" s="13">
        <v>144</v>
      </c>
      <c r="K20" s="13" t="s">
        <v>82</v>
      </c>
      <c r="L20" s="13" t="s">
        <v>83</v>
      </c>
      <c r="M20" s="14">
        <v>38.28</v>
      </c>
      <c r="N20" s="9">
        <v>68129</v>
      </c>
      <c r="O20" s="9">
        <v>3048</v>
      </c>
      <c r="P20" s="9">
        <v>179</v>
      </c>
      <c r="Q20" s="9">
        <v>1434</v>
      </c>
      <c r="R20" s="9">
        <v>8606</v>
      </c>
      <c r="S20" s="9">
        <v>717</v>
      </c>
      <c r="T20" s="9">
        <v>179</v>
      </c>
      <c r="U20" s="9">
        <v>1076</v>
      </c>
      <c r="V20" s="9">
        <v>179</v>
      </c>
      <c r="W20" s="9">
        <v>717</v>
      </c>
      <c r="X20" s="9">
        <v>3586</v>
      </c>
      <c r="Y20" s="9">
        <v>1255</v>
      </c>
      <c r="Z20" s="9">
        <v>359</v>
      </c>
      <c r="AA20" s="9">
        <v>1076</v>
      </c>
      <c r="AB20" s="9">
        <v>1972</v>
      </c>
      <c r="AC20" s="9">
        <v>717</v>
      </c>
      <c r="AD20" s="9">
        <v>3944</v>
      </c>
      <c r="AE20" s="9">
        <v>717</v>
      </c>
      <c r="AF20" s="9">
        <v>359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10">
        <v>0</v>
      </c>
      <c r="AR20" s="18">
        <v>0</v>
      </c>
      <c r="AS20" s="18">
        <v>0</v>
      </c>
      <c r="AT20" s="18">
        <v>0</v>
      </c>
    </row>
    <row r="21" spans="1:46" x14ac:dyDescent="0.35">
      <c r="A21" s="5" t="s">
        <v>35</v>
      </c>
      <c r="B21" s="12">
        <v>27</v>
      </c>
      <c r="C21" s="13" t="s">
        <v>84</v>
      </c>
      <c r="D21" s="13" t="s">
        <v>85</v>
      </c>
      <c r="E21" s="13" t="s">
        <v>86</v>
      </c>
      <c r="F21" s="12">
        <v>-143</v>
      </c>
      <c r="G21" s="13" t="s">
        <v>87</v>
      </c>
      <c r="H21" s="13" t="s">
        <v>88</v>
      </c>
      <c r="I21" s="15" t="s">
        <v>74</v>
      </c>
      <c r="J21" s="13">
        <v>155</v>
      </c>
      <c r="K21" s="13" t="s">
        <v>75</v>
      </c>
      <c r="L21" s="13">
        <v>5</v>
      </c>
      <c r="M21" s="14">
        <v>37.93</v>
      </c>
      <c r="N21" s="9">
        <v>17740</v>
      </c>
      <c r="O21" s="9">
        <v>1321</v>
      </c>
      <c r="P21" s="10">
        <v>0</v>
      </c>
      <c r="Q21" s="9">
        <v>377</v>
      </c>
      <c r="R21" s="9">
        <v>1510</v>
      </c>
      <c r="S21" s="9">
        <v>377</v>
      </c>
      <c r="T21" s="9">
        <v>189</v>
      </c>
      <c r="U21" s="9">
        <v>755</v>
      </c>
      <c r="V21" s="9">
        <v>0</v>
      </c>
      <c r="W21" s="9">
        <v>189</v>
      </c>
      <c r="X21" s="9">
        <v>0</v>
      </c>
      <c r="Y21" s="9">
        <v>189</v>
      </c>
      <c r="Z21" s="9">
        <v>0</v>
      </c>
      <c r="AA21" s="9">
        <v>0</v>
      </c>
      <c r="AB21" s="9">
        <v>377</v>
      </c>
      <c r="AC21" s="9">
        <v>944</v>
      </c>
      <c r="AD21" s="9">
        <v>1321</v>
      </c>
      <c r="AE21" s="9">
        <v>377</v>
      </c>
      <c r="AF21" s="9">
        <v>189</v>
      </c>
      <c r="AG21" s="9">
        <v>0</v>
      </c>
      <c r="AH21" s="9">
        <v>189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944</v>
      </c>
      <c r="AQ21" s="9">
        <v>377</v>
      </c>
      <c r="AR21" s="18">
        <v>0</v>
      </c>
      <c r="AS21" s="18">
        <v>0</v>
      </c>
      <c r="AT21" s="18">
        <v>0</v>
      </c>
    </row>
    <row r="22" spans="1:46" x14ac:dyDescent="0.35">
      <c r="A22" s="5" t="s">
        <v>36</v>
      </c>
      <c r="B22" s="12">
        <v>9</v>
      </c>
      <c r="C22" s="13" t="s">
        <v>89</v>
      </c>
      <c r="D22" s="13" t="s">
        <v>90</v>
      </c>
      <c r="E22" s="13" t="s">
        <v>91</v>
      </c>
      <c r="F22" s="12">
        <v>-143</v>
      </c>
      <c r="G22" s="13" t="s">
        <v>92</v>
      </c>
      <c r="H22" s="13" t="s">
        <v>93</v>
      </c>
      <c r="I22" s="14" t="s">
        <v>94</v>
      </c>
      <c r="J22" s="13">
        <v>113</v>
      </c>
      <c r="K22" s="13" t="s">
        <v>95</v>
      </c>
      <c r="L22" s="13">
        <v>4</v>
      </c>
      <c r="M22" s="14">
        <v>24.750000000000014</v>
      </c>
      <c r="N22" s="9">
        <v>13185</v>
      </c>
      <c r="O22" s="9">
        <v>2102</v>
      </c>
      <c r="P22" s="9">
        <v>1529</v>
      </c>
      <c r="Q22" s="9">
        <v>1720</v>
      </c>
      <c r="R22" s="9">
        <v>382</v>
      </c>
      <c r="S22" s="9">
        <v>1338</v>
      </c>
      <c r="T22" s="9">
        <v>0</v>
      </c>
      <c r="U22" s="9">
        <v>0</v>
      </c>
      <c r="V22" s="9">
        <v>0</v>
      </c>
      <c r="W22" s="9">
        <v>191</v>
      </c>
      <c r="X22" s="10">
        <v>0</v>
      </c>
      <c r="Y22" s="9">
        <v>0</v>
      </c>
      <c r="Z22" s="9">
        <v>1146</v>
      </c>
      <c r="AA22" s="9">
        <v>0</v>
      </c>
      <c r="AB22" s="9">
        <v>955</v>
      </c>
      <c r="AC22" s="9">
        <v>382</v>
      </c>
      <c r="AD22" s="9">
        <v>1338</v>
      </c>
      <c r="AE22" s="9">
        <v>382</v>
      </c>
      <c r="AF22" s="9">
        <v>191</v>
      </c>
      <c r="AG22" s="9">
        <v>0</v>
      </c>
      <c r="AH22" s="9">
        <v>0</v>
      </c>
      <c r="AI22" s="9">
        <v>4395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382</v>
      </c>
      <c r="AP22" s="9">
        <v>0</v>
      </c>
      <c r="AQ22" s="9">
        <v>0</v>
      </c>
      <c r="AR22" s="18">
        <v>0</v>
      </c>
      <c r="AS22" s="18">
        <v>0</v>
      </c>
      <c r="AT22" s="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77EB-2831-2247-8B96-0ED27E675705}">
  <dimension ref="A1:AU6"/>
  <sheetViews>
    <sheetView workbookViewId="0">
      <selection activeCell="D18" sqref="D18"/>
    </sheetView>
  </sheetViews>
  <sheetFormatPr defaultColWidth="10.6640625" defaultRowHeight="15.5" x14ac:dyDescent="0.35"/>
  <sheetData>
    <row r="1" spans="1:47" ht="31" x14ac:dyDescent="0.35">
      <c r="A1" s="6"/>
      <c r="B1" s="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10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11" t="s">
        <v>47</v>
      </c>
      <c r="AJ1" s="11" t="s">
        <v>48</v>
      </c>
      <c r="AK1" s="11" t="s">
        <v>49</v>
      </c>
      <c r="AL1" s="11" t="s">
        <v>50</v>
      </c>
      <c r="AM1" s="11" t="s">
        <v>51</v>
      </c>
      <c r="AN1" s="11" t="s">
        <v>52</v>
      </c>
      <c r="AO1" s="11" t="s">
        <v>53</v>
      </c>
      <c r="AP1" s="11" t="s">
        <v>54</v>
      </c>
      <c r="AQ1" s="11" t="s">
        <v>55</v>
      </c>
      <c r="AR1" s="11" t="s">
        <v>56</v>
      </c>
      <c r="AS1" s="11" t="s">
        <v>57</v>
      </c>
      <c r="AT1" s="11" t="s">
        <v>58</v>
      </c>
      <c r="AU1" s="19" t="s">
        <v>59</v>
      </c>
    </row>
    <row r="2" spans="1:47" x14ac:dyDescent="0.35">
      <c r="A2" s="5" t="s">
        <v>37</v>
      </c>
      <c r="B2" s="8">
        <v>13623</v>
      </c>
      <c r="C2" s="7">
        <v>0</v>
      </c>
      <c r="D2" s="8">
        <v>545</v>
      </c>
      <c r="E2" s="8">
        <v>1635</v>
      </c>
      <c r="F2" s="8">
        <v>1272</v>
      </c>
      <c r="G2" s="8">
        <v>545</v>
      </c>
      <c r="H2" s="7">
        <v>0</v>
      </c>
      <c r="I2" s="8">
        <v>908</v>
      </c>
      <c r="J2" s="7">
        <v>0</v>
      </c>
      <c r="K2" s="8">
        <v>908</v>
      </c>
      <c r="L2" s="8">
        <v>1816</v>
      </c>
      <c r="M2" s="7">
        <v>0</v>
      </c>
      <c r="N2" s="7">
        <v>0</v>
      </c>
      <c r="O2" s="8">
        <v>182</v>
      </c>
      <c r="P2" s="8">
        <v>3088</v>
      </c>
      <c r="Q2" s="8">
        <v>908</v>
      </c>
      <c r="R2" s="7">
        <v>0</v>
      </c>
      <c r="S2" s="8">
        <v>363</v>
      </c>
      <c r="T2" s="7">
        <v>0</v>
      </c>
      <c r="U2" s="7">
        <v>0</v>
      </c>
      <c r="V2" s="8">
        <v>182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363</v>
      </c>
      <c r="AF2" s="7">
        <v>0</v>
      </c>
      <c r="AG2" s="7">
        <v>0</v>
      </c>
      <c r="AH2" s="7">
        <v>0</v>
      </c>
      <c r="AI2" s="16">
        <v>13</v>
      </c>
      <c r="AJ2" s="16">
        <v>1</v>
      </c>
      <c r="AK2" s="16" t="s">
        <v>96</v>
      </c>
      <c r="AL2" s="16" t="s">
        <v>97</v>
      </c>
      <c r="AM2" s="16">
        <v>8.25</v>
      </c>
      <c r="AN2" s="17">
        <v>-139</v>
      </c>
      <c r="AO2" s="16" t="s">
        <v>98</v>
      </c>
      <c r="AP2" s="16" t="s">
        <v>99</v>
      </c>
      <c r="AQ2" s="16" t="s">
        <v>63</v>
      </c>
      <c r="AR2" s="16">
        <v>48</v>
      </c>
      <c r="AS2" s="16" t="s">
        <v>100</v>
      </c>
      <c r="AT2" s="16">
        <v>8</v>
      </c>
      <c r="AU2" s="14">
        <v>27.37</v>
      </c>
    </row>
    <row r="3" spans="1:47" x14ac:dyDescent="0.35">
      <c r="A3" s="5" t="s">
        <v>38</v>
      </c>
      <c r="B3" s="8">
        <v>34777</v>
      </c>
      <c r="C3" s="7">
        <v>0</v>
      </c>
      <c r="D3" s="7">
        <v>0</v>
      </c>
      <c r="E3" s="8">
        <v>2101</v>
      </c>
      <c r="F3" s="8">
        <v>4395</v>
      </c>
      <c r="G3" s="8">
        <v>1146</v>
      </c>
      <c r="H3" s="7">
        <v>0</v>
      </c>
      <c r="I3" s="7">
        <v>0</v>
      </c>
      <c r="J3" s="7">
        <v>0</v>
      </c>
      <c r="K3" s="8">
        <v>955</v>
      </c>
      <c r="L3" s="8">
        <v>3439</v>
      </c>
      <c r="M3" s="7">
        <v>0</v>
      </c>
      <c r="N3" s="8">
        <v>191</v>
      </c>
      <c r="O3" s="7">
        <v>0</v>
      </c>
      <c r="P3" s="8">
        <v>2293</v>
      </c>
      <c r="Q3" s="8">
        <v>1529</v>
      </c>
      <c r="R3" s="7">
        <v>0</v>
      </c>
      <c r="S3" s="8">
        <v>191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8">
        <v>1720</v>
      </c>
      <c r="AE3" s="7">
        <v>0</v>
      </c>
      <c r="AF3" s="7">
        <v>0</v>
      </c>
      <c r="AG3" s="7">
        <v>0</v>
      </c>
      <c r="AH3" s="7">
        <v>0</v>
      </c>
      <c r="AI3" s="16" t="s">
        <v>101</v>
      </c>
      <c r="AJ3" s="16">
        <v>1</v>
      </c>
      <c r="AK3" s="16" t="s">
        <v>102</v>
      </c>
      <c r="AL3" s="16" t="s">
        <v>103</v>
      </c>
      <c r="AM3" s="16">
        <v>8.18</v>
      </c>
      <c r="AN3" s="17">
        <v>-129</v>
      </c>
      <c r="AO3" s="16" t="s">
        <v>87</v>
      </c>
      <c r="AP3" s="16" t="s">
        <v>104</v>
      </c>
      <c r="AQ3" s="16" t="s">
        <v>105</v>
      </c>
      <c r="AR3" s="16">
        <v>53</v>
      </c>
      <c r="AS3" s="16" t="s">
        <v>106</v>
      </c>
      <c r="AT3" s="16">
        <v>4</v>
      </c>
      <c r="AU3" s="14">
        <v>30.51</v>
      </c>
    </row>
    <row r="4" spans="1:47" x14ac:dyDescent="0.35">
      <c r="A4" s="5" t="s">
        <v>39</v>
      </c>
      <c r="B4" s="8">
        <v>14713</v>
      </c>
      <c r="C4" s="7">
        <v>0</v>
      </c>
      <c r="D4" s="7">
        <v>0</v>
      </c>
      <c r="E4" s="8">
        <v>1529</v>
      </c>
      <c r="F4" s="8">
        <v>4586</v>
      </c>
      <c r="G4" s="8">
        <v>1146</v>
      </c>
      <c r="H4" s="7">
        <v>0</v>
      </c>
      <c r="I4" s="7">
        <v>0</v>
      </c>
      <c r="J4" s="7">
        <v>0</v>
      </c>
      <c r="K4" s="8">
        <v>1529</v>
      </c>
      <c r="L4" s="8">
        <v>2866</v>
      </c>
      <c r="M4" s="8">
        <v>573</v>
      </c>
      <c r="N4" s="7">
        <v>0</v>
      </c>
      <c r="O4" s="7">
        <v>0</v>
      </c>
      <c r="P4" s="8">
        <v>1529</v>
      </c>
      <c r="Q4" s="8">
        <v>764</v>
      </c>
      <c r="R4" s="8">
        <v>382</v>
      </c>
      <c r="S4" s="8">
        <v>764</v>
      </c>
      <c r="T4" s="7">
        <v>0</v>
      </c>
      <c r="U4" s="8">
        <v>382</v>
      </c>
      <c r="V4" s="8">
        <v>573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16">
        <v>18</v>
      </c>
      <c r="AJ4" s="16">
        <v>1</v>
      </c>
      <c r="AK4" s="16" t="s">
        <v>107</v>
      </c>
      <c r="AL4" s="16" t="s">
        <v>108</v>
      </c>
      <c r="AM4" s="16">
        <v>8.25</v>
      </c>
      <c r="AN4" s="17">
        <v>-139</v>
      </c>
      <c r="AO4" s="16" t="s">
        <v>109</v>
      </c>
      <c r="AP4" s="16" t="s">
        <v>110</v>
      </c>
      <c r="AQ4" s="16" t="s">
        <v>111</v>
      </c>
      <c r="AR4" s="16">
        <v>82</v>
      </c>
      <c r="AS4" s="16" t="s">
        <v>112</v>
      </c>
      <c r="AT4" s="16">
        <v>5</v>
      </c>
      <c r="AU4" s="14">
        <v>29.83</v>
      </c>
    </row>
    <row r="5" spans="1:47" x14ac:dyDescent="0.35">
      <c r="A5" s="5" t="s">
        <v>40</v>
      </c>
      <c r="B5" s="8">
        <v>98684</v>
      </c>
      <c r="C5" s="7">
        <v>0</v>
      </c>
      <c r="D5" s="8">
        <v>2154</v>
      </c>
      <c r="E5" s="8">
        <v>6853</v>
      </c>
      <c r="F5" s="8">
        <v>19384</v>
      </c>
      <c r="G5" s="8">
        <v>5091</v>
      </c>
      <c r="H5" s="7">
        <v>0</v>
      </c>
      <c r="I5" s="8">
        <v>783</v>
      </c>
      <c r="J5" s="7">
        <v>0</v>
      </c>
      <c r="K5" s="8">
        <v>3329</v>
      </c>
      <c r="L5" s="8">
        <v>12727</v>
      </c>
      <c r="M5" s="8">
        <v>587</v>
      </c>
      <c r="N5" s="7">
        <v>0</v>
      </c>
      <c r="O5" s="8">
        <v>2350</v>
      </c>
      <c r="P5" s="8">
        <v>4503</v>
      </c>
      <c r="Q5" s="8">
        <v>1175</v>
      </c>
      <c r="R5" s="8">
        <v>1958</v>
      </c>
      <c r="S5" s="8">
        <v>1175</v>
      </c>
      <c r="T5" s="7">
        <v>0</v>
      </c>
      <c r="U5" s="8">
        <v>979</v>
      </c>
      <c r="V5" s="8">
        <v>587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8">
        <v>392</v>
      </c>
      <c r="AC5" s="7">
        <v>0</v>
      </c>
      <c r="AD5" s="8">
        <v>392</v>
      </c>
      <c r="AE5" s="8">
        <v>783</v>
      </c>
      <c r="AF5" s="8">
        <v>1566</v>
      </c>
      <c r="AG5" s="8">
        <v>1566</v>
      </c>
      <c r="AH5" s="7">
        <v>0</v>
      </c>
      <c r="AI5" s="16" t="s">
        <v>113</v>
      </c>
      <c r="AJ5" s="16">
        <v>1</v>
      </c>
      <c r="AK5" s="16" t="s">
        <v>114</v>
      </c>
      <c r="AL5" s="16" t="s">
        <v>115</v>
      </c>
      <c r="AM5" s="16">
        <v>8.3400000000000016</v>
      </c>
      <c r="AN5" s="17">
        <v>-146</v>
      </c>
      <c r="AO5" s="16" t="s">
        <v>116</v>
      </c>
      <c r="AP5" s="16" t="s">
        <v>117</v>
      </c>
      <c r="AQ5" s="16" t="s">
        <v>118</v>
      </c>
      <c r="AR5" s="16">
        <v>67</v>
      </c>
      <c r="AS5" s="16" t="s">
        <v>119</v>
      </c>
      <c r="AT5" s="16">
        <v>9</v>
      </c>
      <c r="AU5" s="14">
        <v>30.16</v>
      </c>
    </row>
    <row r="6" spans="1:47" x14ac:dyDescent="0.35">
      <c r="A6" s="5" t="s">
        <v>41</v>
      </c>
      <c r="B6" s="8">
        <v>6039</v>
      </c>
      <c r="C6" s="7">
        <v>0</v>
      </c>
      <c r="D6" s="8">
        <v>755</v>
      </c>
      <c r="E6" s="8">
        <v>944</v>
      </c>
      <c r="F6" s="8">
        <v>3208</v>
      </c>
      <c r="G6" s="8">
        <v>755</v>
      </c>
      <c r="H6" s="7">
        <v>0</v>
      </c>
      <c r="I6" s="8">
        <v>1132</v>
      </c>
      <c r="J6" s="7">
        <v>0</v>
      </c>
      <c r="K6" s="8">
        <v>377</v>
      </c>
      <c r="L6" s="8">
        <v>566</v>
      </c>
      <c r="M6" s="7">
        <v>0</v>
      </c>
      <c r="N6" s="7">
        <v>0</v>
      </c>
      <c r="O6" s="8">
        <v>755</v>
      </c>
      <c r="P6" s="8">
        <v>2076</v>
      </c>
      <c r="Q6" s="8">
        <v>189</v>
      </c>
      <c r="R6" s="7">
        <v>0</v>
      </c>
      <c r="S6" s="8">
        <v>189</v>
      </c>
      <c r="T6" s="7">
        <v>0</v>
      </c>
      <c r="U6" s="7">
        <v>0</v>
      </c>
      <c r="V6" s="8">
        <v>377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16" t="s">
        <v>120</v>
      </c>
      <c r="AJ6" s="16">
        <v>1</v>
      </c>
      <c r="AK6" s="16" t="s">
        <v>121</v>
      </c>
      <c r="AL6" s="16" t="s">
        <v>122</v>
      </c>
      <c r="AM6" s="16">
        <v>8.32</v>
      </c>
      <c r="AN6" s="16">
        <v>-144</v>
      </c>
      <c r="AO6" s="16" t="s">
        <v>123</v>
      </c>
      <c r="AP6" s="16" t="s">
        <v>117</v>
      </c>
      <c r="AQ6" s="17" t="s">
        <v>124</v>
      </c>
      <c r="AR6" s="16">
        <v>76</v>
      </c>
      <c r="AS6" s="16" t="s">
        <v>125</v>
      </c>
      <c r="AT6" s="16">
        <v>5</v>
      </c>
      <c r="AU6" s="14">
        <v>26.67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611F-0D9C-7140-BA98-5CA1C23547A7}">
  <dimension ref="A1:AU6"/>
  <sheetViews>
    <sheetView workbookViewId="0">
      <selection activeCell="AJ14" sqref="AJ14"/>
    </sheetView>
  </sheetViews>
  <sheetFormatPr defaultColWidth="10.6640625" defaultRowHeight="15.5" x14ac:dyDescent="0.35"/>
  <sheetData>
    <row r="1" spans="1:47" ht="31" x14ac:dyDescent="0.35">
      <c r="A1" s="1"/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10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11" t="s">
        <v>47</v>
      </c>
      <c r="AJ1" s="11" t="s">
        <v>48</v>
      </c>
      <c r="AK1" s="11" t="s">
        <v>49</v>
      </c>
      <c r="AL1" s="11" t="s">
        <v>50</v>
      </c>
      <c r="AM1" s="11" t="s">
        <v>51</v>
      </c>
      <c r="AN1" s="11" t="s">
        <v>52</v>
      </c>
      <c r="AO1" s="11" t="s">
        <v>53</v>
      </c>
      <c r="AP1" s="11" t="s">
        <v>54</v>
      </c>
      <c r="AQ1" s="11" t="s">
        <v>55</v>
      </c>
      <c r="AR1" s="11" t="s">
        <v>56</v>
      </c>
      <c r="AS1" s="11" t="s">
        <v>57</v>
      </c>
      <c r="AT1" s="11" t="s">
        <v>58</v>
      </c>
      <c r="AU1" s="20" t="s">
        <v>59</v>
      </c>
    </row>
    <row r="2" spans="1:47" x14ac:dyDescent="0.35">
      <c r="A2" s="1" t="s">
        <v>42</v>
      </c>
      <c r="B2" s="21">
        <v>623</v>
      </c>
      <c r="C2" s="3">
        <v>0</v>
      </c>
      <c r="D2" s="3">
        <v>0</v>
      </c>
      <c r="E2" s="3">
        <v>0</v>
      </c>
      <c r="F2" s="3">
        <v>0</v>
      </c>
      <c r="G2" s="21">
        <v>78</v>
      </c>
      <c r="H2" s="3">
        <v>0</v>
      </c>
      <c r="I2" s="3">
        <v>0</v>
      </c>
      <c r="J2" s="3">
        <v>0</v>
      </c>
      <c r="K2" s="21">
        <v>389</v>
      </c>
      <c r="L2" s="3">
        <v>0</v>
      </c>
      <c r="M2" s="21">
        <v>389</v>
      </c>
      <c r="N2" s="21">
        <v>78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21">
        <v>1090</v>
      </c>
      <c r="V2" s="21">
        <v>156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>
        <v>78</v>
      </c>
      <c r="AI2" s="13">
        <v>1</v>
      </c>
      <c r="AJ2" s="13">
        <v>1</v>
      </c>
      <c r="AK2" s="13" t="s">
        <v>126</v>
      </c>
      <c r="AL2" s="13" t="s">
        <v>127</v>
      </c>
      <c r="AM2" s="14" t="s">
        <v>128</v>
      </c>
      <c r="AN2" s="15">
        <v>-138</v>
      </c>
      <c r="AO2" s="13" t="s">
        <v>129</v>
      </c>
      <c r="AP2" s="13" t="s">
        <v>130</v>
      </c>
      <c r="AQ2" s="13" t="s">
        <v>131</v>
      </c>
      <c r="AR2" s="13">
        <v>87</v>
      </c>
      <c r="AS2" s="13" t="s">
        <v>132</v>
      </c>
      <c r="AT2" s="13">
        <v>1</v>
      </c>
      <c r="AU2" s="14">
        <v>54.58</v>
      </c>
    </row>
    <row r="3" spans="1:47" x14ac:dyDescent="0.35">
      <c r="A3" s="1" t="s">
        <v>43</v>
      </c>
      <c r="B3" s="21">
        <v>1585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1">
        <v>226</v>
      </c>
      <c r="L3" s="3">
        <v>0</v>
      </c>
      <c r="M3" s="21">
        <v>1359</v>
      </c>
      <c r="N3" s="21">
        <v>453</v>
      </c>
      <c r="O3" s="3">
        <v>0</v>
      </c>
      <c r="P3" s="21">
        <v>226</v>
      </c>
      <c r="Q3" s="3">
        <v>0</v>
      </c>
      <c r="R3" s="3">
        <v>0</v>
      </c>
      <c r="S3" s="3">
        <v>0</v>
      </c>
      <c r="T3" s="3">
        <v>0</v>
      </c>
      <c r="U3" s="21">
        <v>1132</v>
      </c>
      <c r="V3" s="21">
        <v>679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21">
        <v>453</v>
      </c>
      <c r="AF3" s="3">
        <v>0</v>
      </c>
      <c r="AG3" s="3">
        <v>0</v>
      </c>
      <c r="AH3" s="3">
        <v>0</v>
      </c>
      <c r="AI3" s="13" t="s">
        <v>133</v>
      </c>
      <c r="AJ3" s="13">
        <v>1</v>
      </c>
      <c r="AK3" s="13" t="s">
        <v>134</v>
      </c>
      <c r="AL3" s="13" t="s">
        <v>135</v>
      </c>
      <c r="AM3" s="14" t="s">
        <v>136</v>
      </c>
      <c r="AN3" s="15">
        <v>-148</v>
      </c>
      <c r="AO3" s="13" t="s">
        <v>137</v>
      </c>
      <c r="AP3" s="13" t="s">
        <v>138</v>
      </c>
      <c r="AQ3" s="13" t="s">
        <v>139</v>
      </c>
      <c r="AR3" s="13">
        <v>83</v>
      </c>
      <c r="AS3" s="13" t="s">
        <v>140</v>
      </c>
      <c r="AT3" s="13">
        <v>2</v>
      </c>
      <c r="AU3" s="14">
        <v>38.31</v>
      </c>
    </row>
    <row r="4" spans="1:47" x14ac:dyDescent="0.35">
      <c r="A4" s="1" t="s">
        <v>44</v>
      </c>
      <c r="B4" s="21">
        <v>628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1">
        <v>1524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21">
        <v>448</v>
      </c>
      <c r="V4" s="21">
        <v>359</v>
      </c>
      <c r="W4" s="3">
        <v>0</v>
      </c>
      <c r="X4" s="21">
        <v>90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21">
        <v>179</v>
      </c>
      <c r="AH4" s="3">
        <v>0</v>
      </c>
      <c r="AI4" s="13">
        <v>2</v>
      </c>
      <c r="AJ4" s="13">
        <v>1</v>
      </c>
      <c r="AK4" s="13" t="s">
        <v>141</v>
      </c>
      <c r="AL4" s="13" t="s">
        <v>142</v>
      </c>
      <c r="AM4" s="14" t="s">
        <v>143</v>
      </c>
      <c r="AN4" s="15">
        <v>-134</v>
      </c>
      <c r="AO4" s="13" t="s">
        <v>80</v>
      </c>
      <c r="AP4" s="13" t="s">
        <v>144</v>
      </c>
      <c r="AQ4" s="13" t="s">
        <v>145</v>
      </c>
      <c r="AR4" s="13">
        <v>92</v>
      </c>
      <c r="AS4" s="13" t="s">
        <v>146</v>
      </c>
      <c r="AT4" s="13" t="s">
        <v>147</v>
      </c>
      <c r="AU4" s="14">
        <v>31.53</v>
      </c>
    </row>
    <row r="5" spans="1:47" x14ac:dyDescent="0.35">
      <c r="A5" s="1" t="s">
        <v>45</v>
      </c>
      <c r="B5" s="21">
        <v>7134</v>
      </c>
      <c r="C5" s="3">
        <v>0</v>
      </c>
      <c r="D5" s="3">
        <v>0</v>
      </c>
      <c r="E5" s="3">
        <v>0</v>
      </c>
      <c r="F5" s="21">
        <v>198</v>
      </c>
      <c r="G5" s="3">
        <v>0</v>
      </c>
      <c r="H5" s="3">
        <v>0</v>
      </c>
      <c r="I5" s="3">
        <v>0</v>
      </c>
      <c r="J5" s="21">
        <v>198</v>
      </c>
      <c r="K5" s="21">
        <v>793</v>
      </c>
      <c r="L5" s="3">
        <v>0</v>
      </c>
      <c r="M5" s="21">
        <v>198</v>
      </c>
      <c r="N5" s="21">
        <v>198</v>
      </c>
      <c r="O5" s="21">
        <v>396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21">
        <v>991</v>
      </c>
      <c r="V5" s="21">
        <v>396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21">
        <v>4756</v>
      </c>
      <c r="AG5" s="21">
        <v>991</v>
      </c>
      <c r="AH5" s="3">
        <v>0</v>
      </c>
      <c r="AI5" s="13" t="s">
        <v>148</v>
      </c>
      <c r="AJ5" s="13">
        <v>1</v>
      </c>
      <c r="AK5" s="13" t="s">
        <v>121</v>
      </c>
      <c r="AL5" s="13" t="s">
        <v>108</v>
      </c>
      <c r="AM5" s="14" t="s">
        <v>149</v>
      </c>
      <c r="AN5" s="15">
        <v>-153</v>
      </c>
      <c r="AO5" s="13" t="s">
        <v>150</v>
      </c>
      <c r="AP5" s="13" t="s">
        <v>110</v>
      </c>
      <c r="AQ5" s="13" t="s">
        <v>151</v>
      </c>
      <c r="AR5" s="13">
        <v>63</v>
      </c>
      <c r="AS5" s="13" t="s">
        <v>112</v>
      </c>
      <c r="AT5" s="13">
        <v>3</v>
      </c>
      <c r="AU5" s="14">
        <v>35</v>
      </c>
    </row>
    <row r="6" spans="1:47" x14ac:dyDescent="0.35">
      <c r="A6" s="1" t="s">
        <v>46</v>
      </c>
      <c r="B6" s="3">
        <v>0</v>
      </c>
      <c r="C6" s="3">
        <v>0</v>
      </c>
      <c r="D6" s="3">
        <v>0</v>
      </c>
      <c r="E6" s="21">
        <v>177</v>
      </c>
      <c r="F6" s="3">
        <v>0</v>
      </c>
      <c r="G6" s="21">
        <v>177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21">
        <v>177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21">
        <v>1238</v>
      </c>
      <c r="Y6" s="3">
        <v>0</v>
      </c>
      <c r="Z6" s="3">
        <v>0</v>
      </c>
      <c r="AA6" s="3">
        <v>0</v>
      </c>
      <c r="AB6" s="21">
        <v>531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13" t="s">
        <v>152</v>
      </c>
      <c r="AJ6" s="13">
        <v>1</v>
      </c>
      <c r="AK6" s="13" t="s">
        <v>153</v>
      </c>
      <c r="AL6" s="13" t="s">
        <v>154</v>
      </c>
      <c r="AM6" s="14" t="s">
        <v>155</v>
      </c>
      <c r="AN6" s="15">
        <v>-149</v>
      </c>
      <c r="AO6" s="13" t="s">
        <v>156</v>
      </c>
      <c r="AP6" s="13" t="s">
        <v>117</v>
      </c>
      <c r="AQ6" s="13" t="s">
        <v>157</v>
      </c>
      <c r="AR6" s="13">
        <v>70</v>
      </c>
      <c r="AS6" s="13" t="s">
        <v>125</v>
      </c>
      <c r="AT6" s="13" t="s">
        <v>152</v>
      </c>
      <c r="AU6" s="14">
        <v>23.28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gabungan</vt:lpstr>
      <vt:lpstr>Sheet1</vt:lpstr>
      <vt:lpstr>awang</vt:lpstr>
      <vt:lpstr>paremas</vt:lpstr>
      <vt:lpstr>seriwe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NATHANYA CHRISTY SHANIE AVISSA</dc:creator>
  <cp:lastModifiedBy>Juli Yandi Rahman</cp:lastModifiedBy>
  <dcterms:created xsi:type="dcterms:W3CDTF">2024-01-18T12:39:09Z</dcterms:created>
  <dcterms:modified xsi:type="dcterms:W3CDTF">2024-03-13T03:42:57Z</dcterms:modified>
</cp:coreProperties>
</file>